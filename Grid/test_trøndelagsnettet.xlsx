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d06795444358214/Dokumenter/Kraftsystemer2/Kraftsystemer-2/Grid/"/>
    </mc:Choice>
  </mc:AlternateContent>
  <xr:revisionPtr revIDLastSave="73" documentId="11_057EBA57FA9E57F87E476CE1F4362D3B786B1A4C" xr6:coauthVersionLast="47" xr6:coauthVersionMax="47" xr10:uidLastSave="{1BDF9EC8-C6E4-4903-A70C-A73CAEE0C7D1}"/>
  <bookViews>
    <workbookView xWindow="-96" yWindow="-96" windowWidth="23232" windowHeight="13872" xr2:uid="{00000000-000D-0000-FFFF-FFFF00000000}"/>
  </bookViews>
  <sheets>
    <sheet name="bus" sheetId="1" r:id="rId1"/>
    <sheet name="gen" sheetId="2" r:id="rId2"/>
    <sheet name="line" sheetId="3" r:id="rId3"/>
    <sheet name="trafo" sheetId="4" r:id="rId4"/>
    <sheet name="link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</calcChain>
</file>

<file path=xl/sharedStrings.xml><?xml version="1.0" encoding="utf-8"?>
<sst xmlns="http://schemas.openxmlformats.org/spreadsheetml/2006/main" count="484" uniqueCount="221">
  <si>
    <t>bus_id</t>
  </si>
  <si>
    <t>name</t>
  </si>
  <si>
    <t>bidz</t>
  </si>
  <si>
    <t>Vbase</t>
  </si>
  <si>
    <t>lat</t>
  </si>
  <si>
    <t>lon</t>
  </si>
  <si>
    <t xml:space="preserve">S_base [MVA] </t>
  </si>
  <si>
    <t>V [P.U]</t>
  </si>
  <si>
    <t>Angle [rad]</t>
  </si>
  <si>
    <t>P_gen</t>
  </si>
  <si>
    <t>Q_gen</t>
  </si>
  <si>
    <t>P_load</t>
  </si>
  <si>
    <t>Q_load</t>
  </si>
  <si>
    <t>Vågåmo trafo stasjon</t>
  </si>
  <si>
    <t>NO3</t>
  </si>
  <si>
    <t>Aura trafostasjon</t>
  </si>
  <si>
    <t>Brattset trafostasjon</t>
  </si>
  <si>
    <t>Orkdal transformatorstasjon</t>
  </si>
  <si>
    <t>Viklandet trafostasjon</t>
  </si>
  <si>
    <t>Klæbu transformatorstasjon</t>
  </si>
  <si>
    <t>Thamshavn trafostasjon</t>
  </si>
  <si>
    <t>Grytten trafostasjon</t>
  </si>
  <si>
    <t>Verdal trafostasjon</t>
  </si>
  <si>
    <t>Strinda koblingsstasjon</t>
  </si>
  <si>
    <t>Grana koblingsstasjon</t>
  </si>
  <si>
    <t>Nea trafostasjon</t>
  </si>
  <si>
    <t>Ørskog trafostasjon</t>
  </si>
  <si>
    <t>Ogndal trafostasjon</t>
  </si>
  <si>
    <t>Eidum trafostasjon</t>
  </si>
  <si>
    <t>Svelgen trafostasjon</t>
  </si>
  <si>
    <t>Namsos (Statnett) trafostasjon</t>
  </si>
  <si>
    <t>type</t>
  </si>
  <si>
    <t>type2</t>
  </si>
  <si>
    <t>Pmax</t>
  </si>
  <si>
    <t>bus</t>
  </si>
  <si>
    <t>Unnamed: 9</t>
  </si>
  <si>
    <t>Unnamed: 10</t>
  </si>
  <si>
    <t>Grytten</t>
  </si>
  <si>
    <t>Hydro</t>
  </si>
  <si>
    <t>Reservoir</t>
  </si>
  <si>
    <t>Tevla</t>
  </si>
  <si>
    <t>Pumped Storage</t>
  </si>
  <si>
    <t>Svelgfoss</t>
  </si>
  <si>
    <t>Run-Of-River</t>
  </si>
  <si>
    <t>Driva</t>
  </si>
  <si>
    <t>Brattset</t>
  </si>
  <si>
    <t>Brattingfoss</t>
  </si>
  <si>
    <t>Bratsberg</t>
  </si>
  <si>
    <t>Askara</t>
  </si>
  <si>
    <t>Nea</t>
  </si>
  <si>
    <t>Mosvik</t>
  </si>
  <si>
    <t>Ovre fiskumfoss</t>
  </si>
  <si>
    <t>Harpefossen</t>
  </si>
  <si>
    <t>Knutfoss</t>
  </si>
  <si>
    <t>Oyberget</t>
  </si>
  <si>
    <t>Rka nyhamna</t>
  </si>
  <si>
    <t>Thermal</t>
  </si>
  <si>
    <t>OCGT</t>
  </si>
  <si>
    <t>Midtre tessa</t>
  </si>
  <si>
    <t>Trolheim</t>
  </si>
  <si>
    <t>Grana</t>
  </si>
  <si>
    <t>Gresslifoss</t>
  </si>
  <si>
    <t>Hegsetfoss</t>
  </si>
  <si>
    <t>Istad</t>
  </si>
  <si>
    <t>Gjerdsvik</t>
  </si>
  <si>
    <t>Eidefossen</t>
  </si>
  <si>
    <t>Fausa</t>
  </si>
  <si>
    <t>Follafoss</t>
  </si>
  <si>
    <t>Framruste</t>
  </si>
  <si>
    <t>Furset</t>
  </si>
  <si>
    <t>Norddalen</t>
  </si>
  <si>
    <t>Vessingfoss</t>
  </si>
  <si>
    <t>Svorkmo</t>
  </si>
  <si>
    <t>Tussa</t>
  </si>
  <si>
    <t>Tafjord</t>
  </si>
  <si>
    <t>Fjaremsfossen</t>
  </si>
  <si>
    <t>Bogna</t>
  </si>
  <si>
    <t>Aunfoss</t>
  </si>
  <si>
    <t>Fossan</t>
  </si>
  <si>
    <t>Nedrenea</t>
  </si>
  <si>
    <t>Litledalen</t>
  </si>
  <si>
    <t>Kvitfossen</t>
  </si>
  <si>
    <t>Kanstadbotn</t>
  </si>
  <si>
    <t>Julskaret</t>
  </si>
  <si>
    <t>Innvik</t>
  </si>
  <si>
    <t>Byrkjelo</t>
  </si>
  <si>
    <t>Byafossen</t>
  </si>
  <si>
    <t>Brunstad</t>
  </si>
  <si>
    <t>Brekkefoss</t>
  </si>
  <si>
    <t>Asen</t>
  </si>
  <si>
    <t>Eiriksdal</t>
  </si>
  <si>
    <t>Funna</t>
  </si>
  <si>
    <t>Hopselva</t>
  </si>
  <si>
    <t>Giskemo</t>
  </si>
  <si>
    <t>Fossheim</t>
  </si>
  <si>
    <t>Embla</t>
  </si>
  <si>
    <t>Eid</t>
  </si>
  <si>
    <t>Lokaunet</t>
  </si>
  <si>
    <t>Amela</t>
  </si>
  <si>
    <t>Skjak</t>
  </si>
  <si>
    <t>Skogheim</t>
  </si>
  <si>
    <t>Usma selbu</t>
  </si>
  <si>
    <t>Soa</t>
  </si>
  <si>
    <t>Sorbrandal</t>
  </si>
  <si>
    <t>Stadheim</t>
  </si>
  <si>
    <t>Steinsvik</t>
  </si>
  <si>
    <t>Stordal</t>
  </si>
  <si>
    <t>Skulafossen</t>
  </si>
  <si>
    <t>Trysilfossen</t>
  </si>
  <si>
    <t>Urke</t>
  </si>
  <si>
    <t>Trandal</t>
  </si>
  <si>
    <t>Sykkylven</t>
  </si>
  <si>
    <t>Vassli</t>
  </si>
  <si>
    <t>Tjeldbergodden</t>
  </si>
  <si>
    <t>Morre</t>
  </si>
  <si>
    <t>Meraker</t>
  </si>
  <si>
    <t>Osbu</t>
  </si>
  <si>
    <t>Osen</t>
  </si>
  <si>
    <t>Riksheimdal</t>
  </si>
  <si>
    <t>Oksenelvane</t>
  </si>
  <si>
    <t>Trollheim</t>
  </si>
  <si>
    <t>Agdenes</t>
  </si>
  <si>
    <t>Aselva</t>
  </si>
  <si>
    <t>Brandaa</t>
  </si>
  <si>
    <t>Bryggja</t>
  </si>
  <si>
    <t>Eidsfossen sfe</t>
  </si>
  <si>
    <t>Eidum</t>
  </si>
  <si>
    <t>Fossan halogalan</t>
  </si>
  <si>
    <t>Fr.stad bioel</t>
  </si>
  <si>
    <t>Groa</t>
  </si>
  <si>
    <t>Holla</t>
  </si>
  <si>
    <t>Hopen</t>
  </si>
  <si>
    <t>Innset</t>
  </si>
  <si>
    <t>Jardola</t>
  </si>
  <si>
    <t>Kassdalen</t>
  </si>
  <si>
    <t>Kurasfossen</t>
  </si>
  <si>
    <t>Namsos</t>
  </si>
  <si>
    <t>Nordsvorka</t>
  </si>
  <si>
    <t>Ogndal</t>
  </si>
  <si>
    <t>Orkdal</t>
  </si>
  <si>
    <t>Selbu</t>
  </si>
  <si>
    <t>Thamshavn</t>
  </si>
  <si>
    <t>Vagamo</t>
  </si>
  <si>
    <t>Verdal</t>
  </si>
  <si>
    <t>Verma</t>
  </si>
  <si>
    <t>Via</t>
  </si>
  <si>
    <t>Viddal</t>
  </si>
  <si>
    <t>line_id</t>
  </si>
  <si>
    <t>area0</t>
  </si>
  <si>
    <t>bus0</t>
  </si>
  <si>
    <t>bus1</t>
  </si>
  <si>
    <t>length</t>
  </si>
  <si>
    <t>R</t>
  </si>
  <si>
    <t>X</t>
  </si>
  <si>
    <t>B</t>
  </si>
  <si>
    <t>[63.0581865391036, 63.169235, 63.271747122419]</t>
  </si>
  <si>
    <t>[9.6024199750926, 9.95773300000001, 9.93306218856054]</t>
  </si>
  <si>
    <t>Thamshavn trafostasjon – Grana koblingsstasjon</t>
  </si>
  <si>
    <t>[62.6815788399503, 62.6288473888959]</t>
  </si>
  <si>
    <t>[10.1228770726635, 10.2663749273365]</t>
  </si>
  <si>
    <t>Brattset trafostasjon – Brattset trafostasjon</t>
  </si>
  <si>
    <t>[62.764642333228, 62.6818480622148]</t>
  </si>
  <si>
    <t>[9.93059299951052, 10.1222020004895]</t>
  </si>
  <si>
    <t>[63.0578905163084, 62.7649652979347]</t>
  </si>
  <si>
    <t>[9.60225399160166, 9.93006400839835]</t>
  </si>
  <si>
    <t>Grana koblingsstasjon – Brattset trafostasjon</t>
  </si>
  <si>
    <t>[62.4779336946648, 61.7329656956376]</t>
  </si>
  <si>
    <t>[7.03366082879706, 5.21884217120294]</t>
  </si>
  <si>
    <t>Ørskog trafostasjon – Svelgen trafostasjon</t>
  </si>
  <si>
    <t>[63.979469495752, 63.951246, 63.7796426966659]</t>
  </si>
  <si>
    <t>[11.4783430752882, 11.578217, 11.4725900216729]</t>
  </si>
  <si>
    <t>Ogndal trafostasjon – Verdal trafostasjon</t>
  </si>
  <si>
    <t>[63.7792842667966, 63.4574296446683]</t>
  </si>
  <si>
    <t>[11.4722350100571, 11.0181519899429]</t>
  </si>
  <si>
    <t>Verdal trafostasjon – Eidum trafostasjon</t>
  </si>
  <si>
    <t>[63.4013872743893, 63.423488, 63.4571907093831]</t>
  </si>
  <si>
    <t>[10.4402013779148, 10.813293, 11.0174939283141]</t>
  </si>
  <si>
    <t>Eidum trafostasjon – Strinda koblingsstasjon</t>
  </si>
  <si>
    <t>[63.779267150403, 63.703506, 63.409354, 63.2769667913878]</t>
  </si>
  <si>
    <t>[11.4726336570695, 11.538391, 11.15387, 10.4580241866236]</t>
  </si>
  <si>
    <t>Verdal trafostasjon – Klæbu transformatorstasjon</t>
  </si>
  <si>
    <t>[63.2770887040084, 63.4011611611364]</t>
  </si>
  <si>
    <t>[10.4575822753626, 10.4397867246374]</t>
  </si>
  <si>
    <t>Strinda koblingsstasjon – Klæbu transformatorstasjon</t>
  </si>
  <si>
    <t>[63.2719119610727, 63.268241, 63.23672, 63.2768450273625]</t>
  </si>
  <si>
    <t>[9.93345548452976, 9.979706, 10.04837, 10.4571728802973]</t>
  </si>
  <si>
    <t>Klæbu transformatorstasjon – Orkdal transformatorstasjon</t>
  </si>
  <si>
    <t>[62.6799952696754, 63.021959, 63.202068, 63.2717982207385]</t>
  </si>
  <si>
    <t>[8.48028947595439, 8.897552, 9.79156500000001, 9.93271247746952]</t>
  </si>
  <si>
    <t>Orkdal transformatorstasjon – Aura trafostasjon</t>
  </si>
  <si>
    <t>[61.8861304294624, 62.6796217603448]</t>
  </si>
  <si>
    <t>[9.06357629708208, 8.48021670291793]</t>
  </si>
  <si>
    <t>Aura trafostasjon – Vågåmo trafo stasjon</t>
  </si>
  <si>
    <t>[63.9797705313635, 64.4536577724636]</t>
  </si>
  <si>
    <t>[11.4780240828036, 11.6207309171964]</t>
  </si>
  <si>
    <t>Ogndal trafostasjon – Namsos (Statnett) trafostasjon</t>
  </si>
  <si>
    <t>[62.5263493502315, 62.6797261154976]</t>
  </si>
  <si>
    <t>[7.79520216211446, 8.47966983788554]</t>
  </si>
  <si>
    <t>Viklandet trafostasjon – Grytten trafostasjon</t>
  </si>
  <si>
    <t>[63.2769332188306, 63.325632, 63.085435, 62.6800121989769]</t>
  </si>
  <si>
    <t>[10.4571743955897, 9.986572, 8.751984, 8.480202620587]</t>
  </si>
  <si>
    <t>Klæbu transformatorstasjon – Viklandet trafostasjon</t>
  </si>
  <si>
    <t>[62.4780980928918, 62.5262309524377]</t>
  </si>
  <si>
    <t>[7.03444016980177, 7.79435683019823]</t>
  </si>
  <si>
    <t>Ørskog trafostasjon – Grytten trafostasjon</t>
  </si>
  <si>
    <t>[63.0357063153294, 63.061804, 63.22373, 63.2768185449166]</t>
  </si>
  <si>
    <t>[11.7274675384392, 11.469727, 10.778961, 10.4580312550914]</t>
  </si>
  <si>
    <t>Klæbu transformatorstasjon – Nea trafostasjon</t>
  </si>
  <si>
    <t>transformer_id</t>
  </si>
  <si>
    <t>ratio</t>
  </si>
  <si>
    <t>Klæbu transformatorstasjon – Klæbu transformatorstasjon</t>
  </si>
  <si>
    <t>Thamshavn trafostasjon – Orkdal transformatorstasjon</t>
  </si>
  <si>
    <t>Ørskog trafostasjon – Ørskog trafostasjon</t>
  </si>
  <si>
    <t>Aura trafostasjon – Viklandet trafostasjon</t>
  </si>
  <si>
    <t>index</t>
  </si>
  <si>
    <t>area1</t>
  </si>
  <si>
    <t>Pinj</t>
  </si>
  <si>
    <t>Qmax</t>
  </si>
  <si>
    <t>Qmin</t>
  </si>
  <si>
    <t>eic code</t>
  </si>
  <si>
    <t>3rr4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</si>
</sst>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P23" sqref="P23"/>
    </sheetView>
  </sheetViews>
  <sheetFormatPr defaultColWidth="8.734375" defaultRowHeight="14.4" x14ac:dyDescent="0.55000000000000004"/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>
        <v>30</v>
      </c>
      <c r="B2" t="s">
        <v>13</v>
      </c>
      <c r="C2" t="s">
        <v>14</v>
      </c>
      <c r="D2">
        <v>300</v>
      </c>
      <c r="E2">
        <v>61.885931000000006</v>
      </c>
      <c r="F2">
        <v>9.063721000000001</v>
      </c>
      <c r="G2">
        <v>100</v>
      </c>
      <c r="H2">
        <v>1</v>
      </c>
      <c r="I2">
        <v>0</v>
      </c>
      <c r="J2" s="3">
        <v>100</v>
      </c>
      <c r="K2">
        <f>0.25*J2</f>
        <v>25</v>
      </c>
      <c r="L2">
        <v>30</v>
      </c>
      <c r="M2">
        <v>30</v>
      </c>
    </row>
    <row r="3" spans="1:13" x14ac:dyDescent="0.55000000000000004">
      <c r="A3">
        <v>45</v>
      </c>
      <c r="B3" t="s">
        <v>15</v>
      </c>
      <c r="C3" t="s">
        <v>14</v>
      </c>
      <c r="D3">
        <v>300</v>
      </c>
      <c r="E3">
        <v>62.679816000000002</v>
      </c>
      <c r="F3">
        <v>8.4800720000000087</v>
      </c>
      <c r="G3">
        <v>100</v>
      </c>
      <c r="H3">
        <v>1</v>
      </c>
      <c r="I3">
        <v>0</v>
      </c>
      <c r="J3" s="3">
        <v>300</v>
      </c>
      <c r="K3">
        <f t="shared" ref="K3:K22" si="0">0.25*J3</f>
        <v>75</v>
      </c>
      <c r="L3">
        <v>1150</v>
      </c>
      <c r="M3">
        <v>90</v>
      </c>
    </row>
    <row r="4" spans="1:13" x14ac:dyDescent="0.55000000000000004">
      <c r="A4">
        <v>46</v>
      </c>
      <c r="B4" t="s">
        <v>16</v>
      </c>
      <c r="C4" t="s">
        <v>14</v>
      </c>
      <c r="D4">
        <v>132</v>
      </c>
      <c r="E4">
        <v>62.628718999999997</v>
      </c>
      <c r="F4">
        <v>10.266724</v>
      </c>
      <c r="G4">
        <v>100</v>
      </c>
      <c r="H4">
        <v>1</v>
      </c>
      <c r="I4">
        <v>0</v>
      </c>
      <c r="J4" s="3">
        <v>0</v>
      </c>
      <c r="K4">
        <f t="shared" si="0"/>
        <v>0</v>
      </c>
      <c r="L4">
        <v>0</v>
      </c>
      <c r="M4">
        <v>0</v>
      </c>
    </row>
    <row r="5" spans="1:13" x14ac:dyDescent="0.55000000000000004">
      <c r="A5">
        <v>60</v>
      </c>
      <c r="B5" t="s">
        <v>17</v>
      </c>
      <c r="C5" t="s">
        <v>14</v>
      </c>
      <c r="D5">
        <v>300</v>
      </c>
      <c r="E5">
        <v>63.271946999999997</v>
      </c>
      <c r="F5">
        <v>9.933014</v>
      </c>
      <c r="G5">
        <v>100</v>
      </c>
      <c r="H5">
        <v>1</v>
      </c>
      <c r="I5">
        <v>0</v>
      </c>
      <c r="J5" s="3">
        <v>0</v>
      </c>
      <c r="K5">
        <f t="shared" si="0"/>
        <v>0</v>
      </c>
      <c r="L5">
        <v>0</v>
      </c>
      <c r="M5">
        <v>0</v>
      </c>
    </row>
    <row r="6" spans="1:13" x14ac:dyDescent="0.55000000000000004">
      <c r="A6">
        <v>61</v>
      </c>
      <c r="B6" t="s">
        <v>18</v>
      </c>
      <c r="C6" t="s">
        <v>14</v>
      </c>
      <c r="D6">
        <v>380</v>
      </c>
      <c r="E6">
        <v>62.679816000000002</v>
      </c>
      <c r="F6">
        <v>8.4800720000000087</v>
      </c>
      <c r="G6">
        <v>100</v>
      </c>
      <c r="H6">
        <v>1</v>
      </c>
      <c r="I6">
        <v>0</v>
      </c>
      <c r="J6" s="3">
        <v>0</v>
      </c>
      <c r="K6">
        <f t="shared" si="0"/>
        <v>0</v>
      </c>
      <c r="L6">
        <v>0</v>
      </c>
      <c r="M6">
        <v>0</v>
      </c>
    </row>
    <row r="7" spans="1:13" x14ac:dyDescent="0.55000000000000004">
      <c r="A7">
        <v>62</v>
      </c>
      <c r="B7" t="s">
        <v>16</v>
      </c>
      <c r="C7" t="s">
        <v>14</v>
      </c>
      <c r="D7">
        <v>132</v>
      </c>
      <c r="E7">
        <v>62.681707000000003</v>
      </c>
      <c r="F7">
        <v>10.122528000000001</v>
      </c>
      <c r="G7">
        <v>100</v>
      </c>
      <c r="H7">
        <v>1</v>
      </c>
      <c r="I7">
        <v>0</v>
      </c>
      <c r="J7" s="3">
        <v>100</v>
      </c>
      <c r="K7">
        <f t="shared" si="0"/>
        <v>25</v>
      </c>
      <c r="L7">
        <v>50</v>
      </c>
      <c r="M7">
        <v>30</v>
      </c>
    </row>
    <row r="8" spans="1:13" x14ac:dyDescent="0.55000000000000004">
      <c r="A8">
        <v>76</v>
      </c>
      <c r="B8" t="s">
        <v>19</v>
      </c>
      <c r="C8" t="s">
        <v>14</v>
      </c>
      <c r="D8">
        <v>300</v>
      </c>
      <c r="E8">
        <v>63.276888</v>
      </c>
      <c r="F8">
        <v>10.457611</v>
      </c>
      <c r="G8">
        <v>100</v>
      </c>
      <c r="H8">
        <v>1</v>
      </c>
      <c r="I8">
        <v>0</v>
      </c>
      <c r="J8" s="3">
        <v>50</v>
      </c>
      <c r="K8">
        <f t="shared" si="0"/>
        <v>12.5</v>
      </c>
      <c r="L8">
        <v>40</v>
      </c>
      <c r="M8">
        <v>15</v>
      </c>
    </row>
    <row r="9" spans="1:13" x14ac:dyDescent="0.55000000000000004">
      <c r="A9">
        <v>77</v>
      </c>
      <c r="B9" t="s">
        <v>20</v>
      </c>
      <c r="C9" t="s">
        <v>14</v>
      </c>
      <c r="D9">
        <v>132</v>
      </c>
      <c r="E9">
        <v>63.271946999999997</v>
      </c>
      <c r="F9">
        <v>9.933014</v>
      </c>
      <c r="G9">
        <v>100</v>
      </c>
      <c r="H9">
        <v>1</v>
      </c>
      <c r="I9">
        <v>0</v>
      </c>
      <c r="J9" s="3">
        <v>50</v>
      </c>
      <c r="K9">
        <f t="shared" si="0"/>
        <v>12.5</v>
      </c>
      <c r="L9">
        <v>200</v>
      </c>
      <c r="M9">
        <v>15</v>
      </c>
    </row>
    <row r="10" spans="1:13" x14ac:dyDescent="0.55000000000000004">
      <c r="A10">
        <v>78</v>
      </c>
      <c r="B10" t="s">
        <v>19</v>
      </c>
      <c r="C10" t="s">
        <v>14</v>
      </c>
      <c r="D10">
        <v>380</v>
      </c>
      <c r="E10">
        <v>63.276888</v>
      </c>
      <c r="F10">
        <v>10.457611</v>
      </c>
      <c r="G10">
        <v>100</v>
      </c>
      <c r="H10">
        <v>1</v>
      </c>
      <c r="I10">
        <v>0</v>
      </c>
      <c r="J10" s="3">
        <v>0</v>
      </c>
      <c r="K10">
        <f t="shared" si="0"/>
        <v>0</v>
      </c>
      <c r="L10">
        <v>0</v>
      </c>
      <c r="M10">
        <v>0</v>
      </c>
    </row>
    <row r="11" spans="1:13" x14ac:dyDescent="0.55000000000000004">
      <c r="A11">
        <v>79</v>
      </c>
      <c r="B11" t="s">
        <v>21</v>
      </c>
      <c r="C11" t="s">
        <v>14</v>
      </c>
      <c r="D11">
        <v>380</v>
      </c>
      <c r="E11">
        <v>62.526259000000003</v>
      </c>
      <c r="F11">
        <v>7.7948000000000004</v>
      </c>
      <c r="G11">
        <v>100</v>
      </c>
      <c r="H11">
        <v>1</v>
      </c>
      <c r="I11">
        <v>0</v>
      </c>
      <c r="J11" s="3">
        <v>200</v>
      </c>
      <c r="K11">
        <f t="shared" si="0"/>
        <v>50</v>
      </c>
      <c r="L11">
        <v>60</v>
      </c>
      <c r="M11">
        <v>60</v>
      </c>
    </row>
    <row r="12" spans="1:13" x14ac:dyDescent="0.55000000000000004">
      <c r="A12">
        <v>80</v>
      </c>
      <c r="B12" t="s">
        <v>16</v>
      </c>
      <c r="C12" t="s">
        <v>14</v>
      </c>
      <c r="D12">
        <v>132</v>
      </c>
      <c r="E12">
        <v>62.764782999999987</v>
      </c>
      <c r="F12">
        <v>9.9302670000000095</v>
      </c>
      <c r="G12">
        <v>100</v>
      </c>
      <c r="H12">
        <v>1</v>
      </c>
      <c r="I12">
        <v>0</v>
      </c>
      <c r="J12" s="3">
        <v>150</v>
      </c>
      <c r="K12">
        <f t="shared" si="0"/>
        <v>37.5</v>
      </c>
      <c r="L12">
        <v>40</v>
      </c>
      <c r="M12">
        <v>45</v>
      </c>
    </row>
    <row r="13" spans="1:13" x14ac:dyDescent="0.55000000000000004">
      <c r="A13">
        <v>105</v>
      </c>
      <c r="B13" t="s">
        <v>22</v>
      </c>
      <c r="C13" t="s">
        <v>14</v>
      </c>
      <c r="D13">
        <v>300</v>
      </c>
      <c r="E13">
        <v>63.779451999999999</v>
      </c>
      <c r="F13">
        <v>11.472473000000001</v>
      </c>
      <c r="G13">
        <v>100</v>
      </c>
      <c r="H13">
        <v>1</v>
      </c>
      <c r="I13">
        <v>0</v>
      </c>
      <c r="J13" s="3">
        <v>50</v>
      </c>
      <c r="K13">
        <f t="shared" si="0"/>
        <v>12.5</v>
      </c>
      <c r="L13">
        <v>330</v>
      </c>
      <c r="M13">
        <v>15</v>
      </c>
    </row>
    <row r="14" spans="1:13" x14ac:dyDescent="0.55000000000000004">
      <c r="A14">
        <v>106</v>
      </c>
      <c r="B14" t="s">
        <v>23</v>
      </c>
      <c r="C14" t="s">
        <v>14</v>
      </c>
      <c r="D14">
        <v>300</v>
      </c>
      <c r="E14">
        <v>63.401361000000001</v>
      </c>
      <c r="F14">
        <v>10.439757999999999</v>
      </c>
      <c r="G14">
        <v>100</v>
      </c>
      <c r="H14">
        <v>1</v>
      </c>
      <c r="I14">
        <v>0</v>
      </c>
      <c r="J14" s="3">
        <v>250</v>
      </c>
      <c r="K14">
        <f t="shared" si="0"/>
        <v>62.5</v>
      </c>
      <c r="L14">
        <v>550</v>
      </c>
      <c r="M14">
        <v>75</v>
      </c>
    </row>
    <row r="15" spans="1:13" x14ac:dyDescent="0.55000000000000004">
      <c r="A15">
        <v>107</v>
      </c>
      <c r="B15" t="s">
        <v>24</v>
      </c>
      <c r="C15" t="s">
        <v>14</v>
      </c>
      <c r="D15">
        <v>132</v>
      </c>
      <c r="E15">
        <v>63.058070999999998</v>
      </c>
      <c r="F15">
        <v>9.6020509999999994</v>
      </c>
      <c r="G15">
        <v>100</v>
      </c>
      <c r="H15">
        <v>1</v>
      </c>
      <c r="I15">
        <v>0</v>
      </c>
      <c r="J15" s="3">
        <v>250</v>
      </c>
      <c r="K15">
        <f t="shared" si="0"/>
        <v>62.5</v>
      </c>
      <c r="L15">
        <v>0</v>
      </c>
      <c r="M15">
        <v>0</v>
      </c>
    </row>
    <row r="16" spans="1:13" x14ac:dyDescent="0.55000000000000004">
      <c r="A16">
        <v>108</v>
      </c>
      <c r="B16" t="s">
        <v>25</v>
      </c>
      <c r="C16" t="s">
        <v>14</v>
      </c>
      <c r="D16">
        <v>380</v>
      </c>
      <c r="E16">
        <v>63.035662000000002</v>
      </c>
      <c r="F16">
        <v>11.727905</v>
      </c>
      <c r="G16">
        <v>100</v>
      </c>
      <c r="H16">
        <v>1</v>
      </c>
      <c r="I16">
        <v>0</v>
      </c>
      <c r="J16" s="3">
        <v>450</v>
      </c>
      <c r="K16">
        <f t="shared" si="0"/>
        <v>112.5</v>
      </c>
      <c r="L16">
        <v>70</v>
      </c>
      <c r="M16">
        <v>135</v>
      </c>
    </row>
    <row r="17" spans="1:13" x14ac:dyDescent="0.55000000000000004">
      <c r="A17">
        <v>109</v>
      </c>
      <c r="B17" t="s">
        <v>26</v>
      </c>
      <c r="C17" t="s">
        <v>14</v>
      </c>
      <c r="D17">
        <v>380</v>
      </c>
      <c r="E17">
        <v>62.478070000000002</v>
      </c>
      <c r="F17">
        <v>7.0339970000000003</v>
      </c>
      <c r="G17">
        <v>100</v>
      </c>
      <c r="H17">
        <v>1</v>
      </c>
      <c r="I17">
        <v>0</v>
      </c>
      <c r="J17" s="3">
        <v>50</v>
      </c>
      <c r="K17">
        <f t="shared" si="0"/>
        <v>12.5</v>
      </c>
      <c r="L17">
        <v>20</v>
      </c>
      <c r="M17">
        <v>15</v>
      </c>
    </row>
    <row r="18" spans="1:13" x14ac:dyDescent="0.55000000000000004">
      <c r="A18">
        <v>138</v>
      </c>
      <c r="B18" t="s">
        <v>27</v>
      </c>
      <c r="C18" t="s">
        <v>14</v>
      </c>
      <c r="D18">
        <v>300</v>
      </c>
      <c r="E18">
        <v>63.979576000000002</v>
      </c>
      <c r="F18">
        <v>11.477966</v>
      </c>
      <c r="G18">
        <v>100</v>
      </c>
      <c r="H18">
        <v>1</v>
      </c>
      <c r="I18">
        <v>0</v>
      </c>
      <c r="J18" s="3">
        <v>100</v>
      </c>
      <c r="K18">
        <f t="shared" si="0"/>
        <v>25</v>
      </c>
      <c r="L18">
        <v>80</v>
      </c>
      <c r="M18">
        <v>30</v>
      </c>
    </row>
    <row r="19" spans="1:13" x14ac:dyDescent="0.55000000000000004">
      <c r="A19">
        <v>139</v>
      </c>
      <c r="B19" t="s">
        <v>28</v>
      </c>
      <c r="C19" t="s">
        <v>14</v>
      </c>
      <c r="D19">
        <v>300</v>
      </c>
      <c r="E19">
        <v>63.457259999999998</v>
      </c>
      <c r="F19">
        <v>11.017913999999999</v>
      </c>
      <c r="G19">
        <v>100</v>
      </c>
      <c r="H19">
        <v>1</v>
      </c>
      <c r="I19">
        <v>0</v>
      </c>
      <c r="J19" s="3">
        <v>150</v>
      </c>
      <c r="K19">
        <f t="shared" si="0"/>
        <v>37.5</v>
      </c>
      <c r="L19">
        <v>100</v>
      </c>
      <c r="M19">
        <v>45</v>
      </c>
    </row>
    <row r="20" spans="1:13" x14ac:dyDescent="0.55000000000000004">
      <c r="A20">
        <v>141</v>
      </c>
      <c r="B20" t="s">
        <v>26</v>
      </c>
      <c r="C20" t="s">
        <v>14</v>
      </c>
      <c r="D20">
        <v>132</v>
      </c>
      <c r="E20">
        <v>62.478070000000002</v>
      </c>
      <c r="F20">
        <v>7.0339970000000003</v>
      </c>
      <c r="G20">
        <v>100</v>
      </c>
      <c r="H20">
        <v>1</v>
      </c>
      <c r="I20">
        <v>0</v>
      </c>
      <c r="J20" s="3">
        <v>450</v>
      </c>
      <c r="K20">
        <f t="shared" si="0"/>
        <v>112.5</v>
      </c>
      <c r="L20">
        <v>800</v>
      </c>
      <c r="M20">
        <v>135</v>
      </c>
    </row>
    <row r="21" spans="1:13" x14ac:dyDescent="0.55000000000000004">
      <c r="A21">
        <v>161</v>
      </c>
      <c r="B21" t="s">
        <v>29</v>
      </c>
      <c r="C21" t="s">
        <v>14</v>
      </c>
      <c r="D21">
        <v>132</v>
      </c>
      <c r="E21">
        <v>61.732826000000003</v>
      </c>
      <c r="F21">
        <v>5.2185059999999996</v>
      </c>
      <c r="G21">
        <v>100</v>
      </c>
      <c r="H21">
        <v>1</v>
      </c>
      <c r="I21">
        <v>0</v>
      </c>
      <c r="J21" s="3">
        <v>550</v>
      </c>
      <c r="K21">
        <f t="shared" si="0"/>
        <v>137.5</v>
      </c>
      <c r="L21">
        <v>250</v>
      </c>
      <c r="M21">
        <v>165</v>
      </c>
    </row>
    <row r="22" spans="1:13" x14ac:dyDescent="0.55000000000000004">
      <c r="A22">
        <v>176</v>
      </c>
      <c r="B22" t="s">
        <v>30</v>
      </c>
      <c r="C22" t="s">
        <v>14</v>
      </c>
      <c r="D22">
        <v>300</v>
      </c>
      <c r="E22">
        <v>64.453849000000005</v>
      </c>
      <c r="F22">
        <v>11.620789</v>
      </c>
      <c r="G22">
        <v>100</v>
      </c>
      <c r="H22">
        <v>1</v>
      </c>
      <c r="I22">
        <v>0</v>
      </c>
      <c r="J22" s="3">
        <v>100</v>
      </c>
      <c r="K22">
        <f t="shared" si="0"/>
        <v>25</v>
      </c>
      <c r="L22">
        <v>100</v>
      </c>
      <c r="M22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"/>
  <sheetViews>
    <sheetView workbookViewId="0">
      <selection activeCell="N15" sqref="N15"/>
    </sheetView>
  </sheetViews>
  <sheetFormatPr defaultColWidth="8.734375" defaultRowHeight="14.4" x14ac:dyDescent="0.55000000000000004"/>
  <sheetData>
    <row r="1" spans="1:11" x14ac:dyDescent="0.55000000000000004">
      <c r="A1" s="1" t="s">
        <v>1</v>
      </c>
      <c r="B1" s="1" t="s">
        <v>31</v>
      </c>
      <c r="C1" s="1" t="s">
        <v>32</v>
      </c>
      <c r="D1" s="1" t="s">
        <v>33</v>
      </c>
      <c r="E1" s="1" t="s">
        <v>217</v>
      </c>
      <c r="F1" s="1" t="s">
        <v>218</v>
      </c>
      <c r="G1" s="1" t="s">
        <v>34</v>
      </c>
      <c r="H1" s="1" t="s">
        <v>4</v>
      </c>
      <c r="I1" s="1" t="s">
        <v>5</v>
      </c>
      <c r="J1" s="1" t="s">
        <v>35</v>
      </c>
      <c r="K1" s="1" t="s">
        <v>36</v>
      </c>
    </row>
    <row r="2" spans="1:11" x14ac:dyDescent="0.55000000000000004">
      <c r="A2" t="s">
        <v>37</v>
      </c>
      <c r="B2" t="s">
        <v>38</v>
      </c>
      <c r="C2" t="s">
        <v>39</v>
      </c>
      <c r="D2">
        <v>143</v>
      </c>
      <c r="E2">
        <v>143</v>
      </c>
      <c r="F2">
        <v>0</v>
      </c>
      <c r="G2">
        <v>45</v>
      </c>
      <c r="H2">
        <v>62.492536000000001</v>
      </c>
      <c r="I2">
        <v>8.8044759999999993</v>
      </c>
    </row>
    <row r="3" spans="1:11" x14ac:dyDescent="0.55000000000000004">
      <c r="A3" t="s">
        <v>40</v>
      </c>
      <c r="B3" t="s">
        <v>38</v>
      </c>
      <c r="C3" t="s">
        <v>41</v>
      </c>
      <c r="D3">
        <v>60</v>
      </c>
      <c r="E3">
        <v>60</v>
      </c>
      <c r="F3">
        <v>0</v>
      </c>
      <c r="G3">
        <v>108</v>
      </c>
      <c r="H3">
        <v>63.385137599999993</v>
      </c>
      <c r="I3">
        <v>11.871930600000001</v>
      </c>
    </row>
    <row r="4" spans="1:11" x14ac:dyDescent="0.55000000000000004">
      <c r="A4" t="s">
        <v>42</v>
      </c>
      <c r="B4" t="s">
        <v>38</v>
      </c>
      <c r="C4" t="s">
        <v>43</v>
      </c>
      <c r="D4">
        <v>251</v>
      </c>
      <c r="E4">
        <v>251</v>
      </c>
      <c r="F4">
        <v>0</v>
      </c>
      <c r="G4">
        <v>161</v>
      </c>
      <c r="H4">
        <v>61.768523600000002</v>
      </c>
      <c r="I4">
        <v>5.2955095999999999</v>
      </c>
    </row>
    <row r="5" spans="1:11" x14ac:dyDescent="0.55000000000000004">
      <c r="A5" t="s">
        <v>44</v>
      </c>
      <c r="B5" t="s">
        <v>38</v>
      </c>
      <c r="C5" t="s">
        <v>43</v>
      </c>
      <c r="D5">
        <v>160</v>
      </c>
      <c r="E5">
        <v>160</v>
      </c>
      <c r="F5">
        <v>0</v>
      </c>
      <c r="G5">
        <v>45</v>
      </c>
      <c r="H5">
        <v>62.594488099999992</v>
      </c>
      <c r="I5">
        <v>8.8866494000000031</v>
      </c>
    </row>
    <row r="6" spans="1:11" x14ac:dyDescent="0.55000000000000004">
      <c r="A6" t="s">
        <v>45</v>
      </c>
      <c r="B6" t="s">
        <v>38</v>
      </c>
      <c r="C6" t="s">
        <v>43</v>
      </c>
      <c r="D6">
        <v>92</v>
      </c>
      <c r="E6">
        <v>92</v>
      </c>
      <c r="F6">
        <v>0</v>
      </c>
      <c r="G6">
        <v>80</v>
      </c>
      <c r="H6">
        <v>62.802273999999997</v>
      </c>
      <c r="I6">
        <v>10.0126685</v>
      </c>
    </row>
    <row r="7" spans="1:11" x14ac:dyDescent="0.55000000000000004">
      <c r="A7" t="s">
        <v>46</v>
      </c>
      <c r="B7" t="s">
        <v>38</v>
      </c>
      <c r="C7" t="s">
        <v>41</v>
      </c>
      <c r="D7">
        <v>14</v>
      </c>
      <c r="E7">
        <v>14</v>
      </c>
      <c r="F7">
        <v>0</v>
      </c>
      <c r="G7">
        <v>138</v>
      </c>
      <c r="H7">
        <v>64.043305000000004</v>
      </c>
      <c r="I7">
        <v>11.08352</v>
      </c>
    </row>
    <row r="8" spans="1:11" x14ac:dyDescent="0.55000000000000004">
      <c r="A8" t="s">
        <v>47</v>
      </c>
      <c r="B8" t="s">
        <v>38</v>
      </c>
      <c r="C8" t="s">
        <v>43</v>
      </c>
      <c r="D8">
        <v>140</v>
      </c>
      <c r="E8">
        <v>140</v>
      </c>
      <c r="F8">
        <v>0</v>
      </c>
      <c r="G8">
        <v>106</v>
      </c>
      <c r="H8">
        <v>63.349364199999997</v>
      </c>
      <c r="I8">
        <v>10.481959399999999</v>
      </c>
    </row>
    <row r="9" spans="1:11" x14ac:dyDescent="0.55000000000000004">
      <c r="A9" t="s">
        <v>48</v>
      </c>
      <c r="B9" t="s">
        <v>38</v>
      </c>
      <c r="C9" t="s">
        <v>43</v>
      </c>
      <c r="D9">
        <v>157.30000000000001</v>
      </c>
      <c r="E9">
        <v>157.30000000000001</v>
      </c>
      <c r="F9">
        <v>0</v>
      </c>
      <c r="G9">
        <v>161</v>
      </c>
      <c r="H9">
        <v>61.783333299999988</v>
      </c>
      <c r="I9">
        <v>5.6666667000000004</v>
      </c>
    </row>
    <row r="10" spans="1:11" x14ac:dyDescent="0.55000000000000004">
      <c r="A10" t="s">
        <v>49</v>
      </c>
      <c r="B10" t="s">
        <v>38</v>
      </c>
      <c r="C10" t="s">
        <v>39</v>
      </c>
      <c r="D10">
        <v>259.8</v>
      </c>
      <c r="E10">
        <v>259.8</v>
      </c>
      <c r="F10">
        <v>0</v>
      </c>
      <c r="G10">
        <v>108</v>
      </c>
      <c r="H10">
        <v>63.161791600000001</v>
      </c>
      <c r="I10">
        <v>11.1900113</v>
      </c>
    </row>
    <row r="11" spans="1:11" x14ac:dyDescent="0.55000000000000004">
      <c r="A11" t="s">
        <v>50</v>
      </c>
      <c r="B11" t="s">
        <v>38</v>
      </c>
      <c r="C11" t="s">
        <v>43</v>
      </c>
      <c r="D11">
        <v>46</v>
      </c>
      <c r="E11">
        <v>46</v>
      </c>
      <c r="F11">
        <v>0</v>
      </c>
      <c r="G11">
        <v>105</v>
      </c>
      <c r="H11">
        <v>63.81768799999999</v>
      </c>
      <c r="I11">
        <v>11.0058121</v>
      </c>
    </row>
    <row r="12" spans="1:11" x14ac:dyDescent="0.55000000000000004">
      <c r="A12" t="s">
        <v>51</v>
      </c>
      <c r="B12" t="s">
        <v>38</v>
      </c>
      <c r="C12" t="s">
        <v>43</v>
      </c>
      <c r="D12">
        <v>9</v>
      </c>
      <c r="E12">
        <v>9</v>
      </c>
      <c r="F12">
        <v>0</v>
      </c>
      <c r="G12">
        <v>176</v>
      </c>
      <c r="H12">
        <v>64.54174900000001</v>
      </c>
      <c r="I12">
        <v>12.458487</v>
      </c>
    </row>
    <row r="13" spans="1:11" x14ac:dyDescent="0.55000000000000004">
      <c r="A13" t="s">
        <v>52</v>
      </c>
      <c r="B13" t="s">
        <v>38</v>
      </c>
      <c r="C13" t="s">
        <v>39</v>
      </c>
      <c r="D13">
        <v>100</v>
      </c>
      <c r="E13">
        <v>100</v>
      </c>
      <c r="F13">
        <v>0</v>
      </c>
      <c r="G13">
        <v>161</v>
      </c>
      <c r="H13">
        <v>61.957961500000003</v>
      </c>
      <c r="I13">
        <v>5.9323598000000004</v>
      </c>
    </row>
    <row r="14" spans="1:11" x14ac:dyDescent="0.55000000000000004">
      <c r="A14" t="s">
        <v>53</v>
      </c>
      <c r="B14" t="s">
        <v>38</v>
      </c>
      <c r="C14" t="s">
        <v>38</v>
      </c>
      <c r="D14">
        <v>5.4</v>
      </c>
      <c r="E14">
        <v>5.4</v>
      </c>
      <c r="F14">
        <v>0</v>
      </c>
      <c r="G14">
        <v>176</v>
      </c>
      <c r="H14">
        <v>64.522800000000004</v>
      </c>
      <c r="I14">
        <v>12.426399999999999</v>
      </c>
    </row>
    <row r="15" spans="1:11" x14ac:dyDescent="0.55000000000000004">
      <c r="A15" t="s">
        <v>54</v>
      </c>
      <c r="B15" t="s">
        <v>38</v>
      </c>
      <c r="C15" t="s">
        <v>38</v>
      </c>
      <c r="D15">
        <v>109</v>
      </c>
      <c r="E15">
        <v>109</v>
      </c>
      <c r="F15">
        <v>0</v>
      </c>
      <c r="G15">
        <v>30</v>
      </c>
      <c r="H15">
        <v>61.934199999999997</v>
      </c>
      <c r="I15">
        <v>8.0306999999999995</v>
      </c>
    </row>
    <row r="16" spans="1:11" x14ac:dyDescent="0.55000000000000004">
      <c r="A16" t="s">
        <v>55</v>
      </c>
      <c r="B16" t="s">
        <v>56</v>
      </c>
      <c r="C16" t="s">
        <v>57</v>
      </c>
      <c r="D16">
        <v>253.2</v>
      </c>
      <c r="E16">
        <v>253.2</v>
      </c>
      <c r="F16">
        <v>0</v>
      </c>
      <c r="G16">
        <v>141</v>
      </c>
      <c r="H16">
        <v>62.8489</v>
      </c>
      <c r="I16">
        <v>6.9432999999999998</v>
      </c>
    </row>
    <row r="17" spans="1:9" x14ac:dyDescent="0.55000000000000004">
      <c r="A17" t="s">
        <v>58</v>
      </c>
      <c r="B17" t="s">
        <v>38</v>
      </c>
      <c r="C17" t="s">
        <v>38</v>
      </c>
      <c r="D17">
        <v>9</v>
      </c>
      <c r="E17">
        <v>9</v>
      </c>
      <c r="F17">
        <v>0</v>
      </c>
      <c r="G17">
        <v>30</v>
      </c>
      <c r="H17">
        <v>61.845999999999997</v>
      </c>
      <c r="I17">
        <v>8.9611000000000001</v>
      </c>
    </row>
    <row r="18" spans="1:9" x14ac:dyDescent="0.55000000000000004">
      <c r="A18" t="s">
        <v>59</v>
      </c>
      <c r="B18" t="s">
        <v>38</v>
      </c>
      <c r="C18" t="s">
        <v>38</v>
      </c>
      <c r="D18">
        <v>169.2</v>
      </c>
      <c r="E18">
        <v>169.2</v>
      </c>
      <c r="F18">
        <v>0</v>
      </c>
      <c r="G18">
        <v>106</v>
      </c>
      <c r="H18">
        <v>63.430514899999999</v>
      </c>
      <c r="I18">
        <v>10.3950528</v>
      </c>
    </row>
    <row r="19" spans="1:9" x14ac:dyDescent="0.55000000000000004">
      <c r="A19" t="s">
        <v>60</v>
      </c>
      <c r="B19" t="s">
        <v>38</v>
      </c>
      <c r="C19" t="s">
        <v>38</v>
      </c>
      <c r="D19">
        <v>90</v>
      </c>
      <c r="E19">
        <v>90</v>
      </c>
      <c r="F19">
        <v>0</v>
      </c>
      <c r="G19">
        <v>80</v>
      </c>
      <c r="H19">
        <v>62.8776461</v>
      </c>
      <c r="I19">
        <v>9.7151951999999984</v>
      </c>
    </row>
    <row r="20" spans="1:9" x14ac:dyDescent="0.55000000000000004">
      <c r="A20" t="s">
        <v>61</v>
      </c>
      <c r="B20" t="s">
        <v>38</v>
      </c>
      <c r="C20" t="s">
        <v>38</v>
      </c>
      <c r="D20">
        <v>26</v>
      </c>
      <c r="E20">
        <v>26</v>
      </c>
      <c r="F20">
        <v>0</v>
      </c>
      <c r="G20">
        <v>108</v>
      </c>
      <c r="H20">
        <v>63.057699999999997</v>
      </c>
      <c r="I20">
        <v>11.439399999999999</v>
      </c>
    </row>
    <row r="21" spans="1:9" x14ac:dyDescent="0.55000000000000004">
      <c r="A21" t="s">
        <v>62</v>
      </c>
      <c r="B21" t="s">
        <v>38</v>
      </c>
      <c r="C21" t="s">
        <v>38</v>
      </c>
      <c r="D21">
        <v>40.299999999999997</v>
      </c>
      <c r="E21">
        <v>40.299999999999997</v>
      </c>
      <c r="F21">
        <v>0</v>
      </c>
      <c r="G21">
        <v>108</v>
      </c>
      <c r="H21">
        <v>63.165300000000002</v>
      </c>
      <c r="I21">
        <v>11.230700000000001</v>
      </c>
    </row>
    <row r="22" spans="1:9" x14ac:dyDescent="0.55000000000000004">
      <c r="A22" t="s">
        <v>63</v>
      </c>
      <c r="B22" t="s">
        <v>38</v>
      </c>
      <c r="C22" t="s">
        <v>38</v>
      </c>
      <c r="D22">
        <v>6</v>
      </c>
      <c r="E22">
        <v>6</v>
      </c>
      <c r="F22">
        <v>0</v>
      </c>
      <c r="G22">
        <v>141</v>
      </c>
      <c r="H22">
        <v>62.746369999999999</v>
      </c>
      <c r="I22">
        <v>7.2199947</v>
      </c>
    </row>
    <row r="23" spans="1:9" x14ac:dyDescent="0.55000000000000004">
      <c r="A23" t="s">
        <v>64</v>
      </c>
      <c r="B23" t="s">
        <v>38</v>
      </c>
      <c r="C23" t="s">
        <v>38</v>
      </c>
      <c r="D23">
        <v>6.2</v>
      </c>
      <c r="E23">
        <v>6.2</v>
      </c>
      <c r="F23">
        <v>0</v>
      </c>
      <c r="G23">
        <v>161</v>
      </c>
      <c r="H23">
        <v>62.264245999999993</v>
      </c>
      <c r="I23">
        <v>5.5803419999999999</v>
      </c>
    </row>
    <row r="24" spans="1:9" x14ac:dyDescent="0.55000000000000004">
      <c r="A24" t="s">
        <v>65</v>
      </c>
      <c r="B24" t="s">
        <v>38</v>
      </c>
      <c r="C24" t="s">
        <v>38</v>
      </c>
      <c r="D24">
        <v>14</v>
      </c>
      <c r="E24">
        <v>14</v>
      </c>
      <c r="F24">
        <v>0</v>
      </c>
      <c r="G24">
        <v>30</v>
      </c>
      <c r="H24">
        <v>61.80454379999999</v>
      </c>
      <c r="I24">
        <v>9.3017813999999994</v>
      </c>
    </row>
    <row r="25" spans="1:9" x14ac:dyDescent="0.55000000000000004">
      <c r="A25" t="s">
        <v>66</v>
      </c>
      <c r="B25" t="s">
        <v>38</v>
      </c>
      <c r="C25" t="s">
        <v>38</v>
      </c>
      <c r="D25">
        <v>8</v>
      </c>
      <c r="E25">
        <v>8</v>
      </c>
      <c r="F25">
        <v>0</v>
      </c>
      <c r="G25">
        <v>141</v>
      </c>
      <c r="H25">
        <v>62.357500000000002</v>
      </c>
      <c r="I25">
        <v>6.8948</v>
      </c>
    </row>
    <row r="26" spans="1:9" x14ac:dyDescent="0.55000000000000004">
      <c r="A26" t="s">
        <v>67</v>
      </c>
      <c r="B26" t="s">
        <v>38</v>
      </c>
      <c r="C26" t="s">
        <v>38</v>
      </c>
      <c r="D26">
        <v>48.5</v>
      </c>
      <c r="E26">
        <v>48.5</v>
      </c>
      <c r="F26">
        <v>0</v>
      </c>
      <c r="G26">
        <v>138</v>
      </c>
      <c r="H26">
        <v>63.985557500000013</v>
      </c>
      <c r="I26">
        <v>11.1072278</v>
      </c>
    </row>
    <row r="27" spans="1:9" x14ac:dyDescent="0.55000000000000004">
      <c r="A27" t="s">
        <v>68</v>
      </c>
      <c r="B27" t="s">
        <v>38</v>
      </c>
      <c r="C27" t="s">
        <v>38</v>
      </c>
      <c r="D27">
        <v>85</v>
      </c>
      <c r="E27">
        <v>85</v>
      </c>
      <c r="F27">
        <v>0</v>
      </c>
      <c r="G27">
        <v>79</v>
      </c>
      <c r="H27">
        <v>61.960009399999997</v>
      </c>
      <c r="I27">
        <v>7.8511770000000034</v>
      </c>
    </row>
    <row r="28" spans="1:9" x14ac:dyDescent="0.55000000000000004">
      <c r="A28" t="s">
        <v>69</v>
      </c>
      <c r="B28" t="s">
        <v>38</v>
      </c>
      <c r="C28" t="s">
        <v>38</v>
      </c>
      <c r="D28">
        <v>5.4</v>
      </c>
      <c r="E28">
        <v>5.4</v>
      </c>
      <c r="F28">
        <v>0</v>
      </c>
      <c r="G28">
        <v>141</v>
      </c>
      <c r="H28">
        <v>62.282800000000002</v>
      </c>
      <c r="I28">
        <v>6.8848000000000003</v>
      </c>
    </row>
    <row r="29" spans="1:9" x14ac:dyDescent="0.55000000000000004">
      <c r="A29" t="s">
        <v>70</v>
      </c>
      <c r="B29" t="s">
        <v>38</v>
      </c>
      <c r="C29" t="s">
        <v>39</v>
      </c>
      <c r="D29">
        <v>9</v>
      </c>
      <c r="E29">
        <v>9</v>
      </c>
      <c r="F29">
        <v>0</v>
      </c>
      <c r="G29">
        <v>141</v>
      </c>
      <c r="H29">
        <v>62.299768399999998</v>
      </c>
      <c r="I29">
        <v>7.2545709999999994</v>
      </c>
    </row>
    <row r="30" spans="1:9" x14ac:dyDescent="0.55000000000000004">
      <c r="A30" t="s">
        <v>71</v>
      </c>
      <c r="B30" t="s">
        <v>38</v>
      </c>
      <c r="C30" t="s">
        <v>38</v>
      </c>
      <c r="D30">
        <v>45</v>
      </c>
      <c r="E30">
        <v>45</v>
      </c>
      <c r="F30">
        <v>0</v>
      </c>
      <c r="G30">
        <v>108</v>
      </c>
      <c r="H30">
        <v>62.995699999999999</v>
      </c>
      <c r="I30">
        <v>11.8285</v>
      </c>
    </row>
    <row r="31" spans="1:9" x14ac:dyDescent="0.55000000000000004">
      <c r="A31" t="s">
        <v>72</v>
      </c>
      <c r="B31" t="s">
        <v>38</v>
      </c>
      <c r="C31" t="s">
        <v>38</v>
      </c>
      <c r="D31">
        <v>86</v>
      </c>
      <c r="E31">
        <v>86</v>
      </c>
      <c r="F31">
        <v>0</v>
      </c>
      <c r="G31">
        <v>107</v>
      </c>
      <c r="H31">
        <v>63.163664850000004</v>
      </c>
      <c r="I31">
        <v>9.7574403499999995</v>
      </c>
    </row>
    <row r="32" spans="1:9" x14ac:dyDescent="0.55000000000000004">
      <c r="A32" t="s">
        <v>73</v>
      </c>
      <c r="B32" t="s">
        <v>38</v>
      </c>
      <c r="C32" t="s">
        <v>38</v>
      </c>
      <c r="D32">
        <v>64</v>
      </c>
      <c r="E32">
        <v>64</v>
      </c>
      <c r="F32">
        <v>0</v>
      </c>
      <c r="G32">
        <v>141</v>
      </c>
      <c r="H32">
        <v>62.178645300000007</v>
      </c>
      <c r="I32">
        <v>6.0833482000000014</v>
      </c>
    </row>
    <row r="33" spans="1:9" x14ac:dyDescent="0.55000000000000004">
      <c r="A33" t="s">
        <v>74</v>
      </c>
      <c r="B33" t="s">
        <v>38</v>
      </c>
      <c r="C33" t="s">
        <v>43</v>
      </c>
      <c r="D33">
        <v>319.2</v>
      </c>
      <c r="E33">
        <v>319.2</v>
      </c>
      <c r="F33">
        <v>0</v>
      </c>
      <c r="G33">
        <v>141</v>
      </c>
      <c r="H33">
        <v>62.231151299999979</v>
      </c>
      <c r="I33">
        <v>7.4153287000000017</v>
      </c>
    </row>
    <row r="34" spans="1:9" x14ac:dyDescent="0.55000000000000004">
      <c r="A34" t="s">
        <v>75</v>
      </c>
      <c r="B34" t="s">
        <v>38</v>
      </c>
      <c r="C34" t="s">
        <v>43</v>
      </c>
      <c r="D34">
        <v>23</v>
      </c>
      <c r="E34">
        <v>23</v>
      </c>
      <c r="F34">
        <v>0</v>
      </c>
      <c r="G34">
        <v>76</v>
      </c>
      <c r="H34">
        <v>63.322110000000002</v>
      </c>
      <c r="I34">
        <v>10.436579999999999</v>
      </c>
    </row>
    <row r="35" spans="1:9" x14ac:dyDescent="0.55000000000000004">
      <c r="A35" t="s">
        <v>76</v>
      </c>
      <c r="B35" t="s">
        <v>38</v>
      </c>
      <c r="C35" t="s">
        <v>38</v>
      </c>
      <c r="D35">
        <v>60</v>
      </c>
      <c r="E35">
        <v>60</v>
      </c>
      <c r="F35">
        <v>0</v>
      </c>
      <c r="G35">
        <v>176</v>
      </c>
      <c r="H35">
        <v>64.221500000000006</v>
      </c>
      <c r="I35">
        <v>12.036899999999999</v>
      </c>
    </row>
    <row r="36" spans="1:9" x14ac:dyDescent="0.55000000000000004">
      <c r="A36" t="s">
        <v>77</v>
      </c>
      <c r="B36" t="s">
        <v>38</v>
      </c>
      <c r="C36" t="s">
        <v>38</v>
      </c>
      <c r="D36">
        <v>36</v>
      </c>
      <c r="E36">
        <v>36</v>
      </c>
      <c r="F36">
        <v>0</v>
      </c>
      <c r="G36">
        <v>176</v>
      </c>
      <c r="H36">
        <v>64.31045300000001</v>
      </c>
      <c r="I36">
        <v>11.520841900000001</v>
      </c>
    </row>
    <row r="37" spans="1:9" x14ac:dyDescent="0.55000000000000004">
      <c r="A37" t="s">
        <v>78</v>
      </c>
      <c r="B37" t="s">
        <v>38</v>
      </c>
      <c r="C37" t="s">
        <v>38</v>
      </c>
      <c r="D37">
        <v>3</v>
      </c>
      <c r="E37">
        <v>3</v>
      </c>
      <c r="F37">
        <v>0</v>
      </c>
      <c r="G37">
        <v>108</v>
      </c>
      <c r="H37">
        <v>63.027299999999997</v>
      </c>
      <c r="I37">
        <v>11.6968</v>
      </c>
    </row>
    <row r="38" spans="1:9" x14ac:dyDescent="0.55000000000000004">
      <c r="A38" t="s">
        <v>79</v>
      </c>
      <c r="B38" t="s">
        <v>38</v>
      </c>
      <c r="C38" t="s">
        <v>38</v>
      </c>
      <c r="D38">
        <v>70</v>
      </c>
      <c r="E38">
        <v>70</v>
      </c>
      <c r="F38">
        <v>0</v>
      </c>
      <c r="G38">
        <v>108</v>
      </c>
      <c r="H38">
        <v>63.151699999999998</v>
      </c>
      <c r="I38">
        <v>11.239599999999999</v>
      </c>
    </row>
    <row r="39" spans="1:9" x14ac:dyDescent="0.55000000000000004">
      <c r="A39" t="s">
        <v>80</v>
      </c>
      <c r="B39" t="s">
        <v>38</v>
      </c>
      <c r="C39" t="s">
        <v>38</v>
      </c>
      <c r="D39">
        <v>19.5</v>
      </c>
      <c r="E39">
        <v>19.5</v>
      </c>
      <c r="F39">
        <v>0</v>
      </c>
      <c r="G39">
        <v>79</v>
      </c>
      <c r="H39">
        <v>62.6666667</v>
      </c>
      <c r="I39">
        <v>7.5333332999999989</v>
      </c>
    </row>
    <row r="40" spans="1:9" x14ac:dyDescent="0.55000000000000004">
      <c r="A40" t="s">
        <v>81</v>
      </c>
      <c r="B40" t="s">
        <v>38</v>
      </c>
      <c r="C40" t="s">
        <v>38</v>
      </c>
      <c r="D40">
        <v>7.8</v>
      </c>
      <c r="E40">
        <v>7.8</v>
      </c>
      <c r="F40">
        <v>0</v>
      </c>
      <c r="G40">
        <v>30</v>
      </c>
      <c r="H40">
        <v>62.210242699999988</v>
      </c>
      <c r="I40">
        <v>8.9330416999999969</v>
      </c>
    </row>
    <row r="41" spans="1:9" x14ac:dyDescent="0.55000000000000004">
      <c r="A41" t="s">
        <v>82</v>
      </c>
      <c r="B41" t="s">
        <v>38</v>
      </c>
      <c r="C41" t="s">
        <v>38</v>
      </c>
      <c r="D41">
        <v>5.8</v>
      </c>
      <c r="E41">
        <v>5.8</v>
      </c>
      <c r="F41">
        <v>0</v>
      </c>
      <c r="G41">
        <v>45</v>
      </c>
      <c r="H41">
        <v>62.676000000000002</v>
      </c>
      <c r="I41">
        <v>8.157</v>
      </c>
    </row>
    <row r="42" spans="1:9" x14ac:dyDescent="0.55000000000000004">
      <c r="A42" t="s">
        <v>83</v>
      </c>
      <c r="B42" t="s">
        <v>38</v>
      </c>
      <c r="C42" t="s">
        <v>38</v>
      </c>
      <c r="D42">
        <v>8</v>
      </c>
      <c r="E42">
        <v>8</v>
      </c>
      <c r="F42">
        <v>0</v>
      </c>
      <c r="G42">
        <v>76</v>
      </c>
      <c r="H42">
        <v>63.140300000000003</v>
      </c>
      <c r="I42">
        <v>10.9664</v>
      </c>
    </row>
    <row r="43" spans="1:9" x14ac:dyDescent="0.55000000000000004">
      <c r="A43" t="s">
        <v>84</v>
      </c>
      <c r="B43" t="s">
        <v>38</v>
      </c>
      <c r="C43" t="s">
        <v>38</v>
      </c>
      <c r="D43">
        <v>17</v>
      </c>
      <c r="E43">
        <v>17</v>
      </c>
      <c r="F43">
        <v>0</v>
      </c>
      <c r="G43">
        <v>109</v>
      </c>
      <c r="H43">
        <v>61.851740700000001</v>
      </c>
      <c r="I43">
        <v>6.6169454999999999</v>
      </c>
    </row>
    <row r="44" spans="1:9" x14ac:dyDescent="0.55000000000000004">
      <c r="A44" t="s">
        <v>85</v>
      </c>
      <c r="B44" t="s">
        <v>38</v>
      </c>
      <c r="C44" t="s">
        <v>38</v>
      </c>
      <c r="D44">
        <v>25.2</v>
      </c>
      <c r="E44">
        <v>25.2</v>
      </c>
      <c r="F44">
        <v>0</v>
      </c>
      <c r="G44">
        <v>161</v>
      </c>
      <c r="H44">
        <v>61.733299000000002</v>
      </c>
      <c r="I44">
        <v>6.5069116999999999</v>
      </c>
    </row>
    <row r="45" spans="1:9" x14ac:dyDescent="0.55000000000000004">
      <c r="A45" t="s">
        <v>86</v>
      </c>
      <c r="B45" t="s">
        <v>38</v>
      </c>
      <c r="C45" t="s">
        <v>38</v>
      </c>
      <c r="D45">
        <v>4.0999999999999996</v>
      </c>
      <c r="E45">
        <v>4.0999999999999996</v>
      </c>
      <c r="F45">
        <v>0</v>
      </c>
      <c r="G45">
        <v>138</v>
      </c>
      <c r="H45">
        <v>64.031990399999998</v>
      </c>
      <c r="I45">
        <v>11.5484121</v>
      </c>
    </row>
    <row r="46" spans="1:9" x14ac:dyDescent="0.55000000000000004">
      <c r="A46" t="s">
        <v>87</v>
      </c>
      <c r="B46" t="s">
        <v>38</v>
      </c>
      <c r="C46" t="s">
        <v>38</v>
      </c>
      <c r="D46">
        <v>4</v>
      </c>
      <c r="E46">
        <v>4</v>
      </c>
      <c r="F46">
        <v>0</v>
      </c>
      <c r="G46">
        <v>141</v>
      </c>
      <c r="H46">
        <v>62.381633899999997</v>
      </c>
      <c r="I46">
        <v>6.5741103000000001</v>
      </c>
    </row>
    <row r="47" spans="1:9" x14ac:dyDescent="0.55000000000000004">
      <c r="A47" t="s">
        <v>88</v>
      </c>
      <c r="B47" t="s">
        <v>38</v>
      </c>
      <c r="C47" t="s">
        <v>38</v>
      </c>
      <c r="D47">
        <v>2</v>
      </c>
      <c r="E47">
        <v>2</v>
      </c>
      <c r="F47">
        <v>0</v>
      </c>
      <c r="G47">
        <v>161</v>
      </c>
      <c r="H47">
        <v>61.723153799999992</v>
      </c>
      <c r="I47">
        <v>5.8376893999999986</v>
      </c>
    </row>
    <row r="48" spans="1:9" x14ac:dyDescent="0.55000000000000004">
      <c r="A48" t="s">
        <v>89</v>
      </c>
      <c r="B48" t="s">
        <v>38</v>
      </c>
      <c r="C48" t="s">
        <v>38</v>
      </c>
      <c r="D48">
        <v>10.4</v>
      </c>
      <c r="E48">
        <v>10.4</v>
      </c>
      <c r="F48">
        <v>0</v>
      </c>
      <c r="G48">
        <v>139</v>
      </c>
      <c r="H48">
        <v>63.608235299999997</v>
      </c>
      <c r="I48">
        <v>11.051768900000001</v>
      </c>
    </row>
    <row r="49" spans="1:9" x14ac:dyDescent="0.55000000000000004">
      <c r="A49" t="s">
        <v>90</v>
      </c>
      <c r="B49" t="s">
        <v>38</v>
      </c>
      <c r="C49" t="s">
        <v>38</v>
      </c>
      <c r="D49">
        <v>100</v>
      </c>
      <c r="E49">
        <v>100</v>
      </c>
      <c r="F49">
        <v>0</v>
      </c>
      <c r="G49">
        <v>79</v>
      </c>
      <c r="H49">
        <v>62.476147400000002</v>
      </c>
      <c r="I49">
        <v>8.1743355999999991</v>
      </c>
    </row>
    <row r="50" spans="1:9" x14ac:dyDescent="0.55000000000000004">
      <c r="A50" t="s">
        <v>91</v>
      </c>
      <c r="B50" t="s">
        <v>38</v>
      </c>
      <c r="C50" t="s">
        <v>38</v>
      </c>
      <c r="D50">
        <v>21.7</v>
      </c>
      <c r="E50">
        <v>21.7</v>
      </c>
      <c r="F50">
        <v>0</v>
      </c>
      <c r="G50">
        <v>139</v>
      </c>
      <c r="H50">
        <v>63.451559799999998</v>
      </c>
      <c r="I50">
        <v>11.763260900000001</v>
      </c>
    </row>
    <row r="51" spans="1:9" x14ac:dyDescent="0.55000000000000004">
      <c r="A51" t="s">
        <v>92</v>
      </c>
      <c r="B51" t="s">
        <v>38</v>
      </c>
      <c r="C51" t="s">
        <v>38</v>
      </c>
      <c r="D51">
        <v>5.2</v>
      </c>
      <c r="E51">
        <v>5.2</v>
      </c>
      <c r="F51">
        <v>0</v>
      </c>
      <c r="G51">
        <v>161</v>
      </c>
      <c r="H51">
        <v>61.714849000000001</v>
      </c>
      <c r="I51">
        <v>5.8235750999999993</v>
      </c>
    </row>
    <row r="52" spans="1:9" x14ac:dyDescent="0.55000000000000004">
      <c r="A52" t="s">
        <v>93</v>
      </c>
      <c r="B52" t="s">
        <v>38</v>
      </c>
      <c r="C52" t="s">
        <v>38</v>
      </c>
      <c r="D52">
        <v>5.4</v>
      </c>
      <c r="E52">
        <v>5.4</v>
      </c>
      <c r="F52">
        <v>0</v>
      </c>
      <c r="G52">
        <v>141</v>
      </c>
      <c r="H52">
        <v>62.481357499999987</v>
      </c>
      <c r="I52">
        <v>6.8139132</v>
      </c>
    </row>
    <row r="53" spans="1:9" x14ac:dyDescent="0.55000000000000004">
      <c r="A53" t="s">
        <v>94</v>
      </c>
      <c r="B53" t="s">
        <v>38</v>
      </c>
      <c r="C53" t="s">
        <v>38</v>
      </c>
      <c r="D53">
        <v>9</v>
      </c>
      <c r="E53">
        <v>9</v>
      </c>
      <c r="F53">
        <v>0</v>
      </c>
      <c r="G53">
        <v>30</v>
      </c>
      <c r="H53">
        <v>61.838385399999993</v>
      </c>
      <c r="I53">
        <v>8.5725324999999994</v>
      </c>
    </row>
    <row r="54" spans="1:9" x14ac:dyDescent="0.55000000000000004">
      <c r="A54" t="s">
        <v>95</v>
      </c>
      <c r="B54" t="s">
        <v>38</v>
      </c>
      <c r="C54" t="s">
        <v>38</v>
      </c>
      <c r="D54">
        <v>5.5</v>
      </c>
      <c r="E54">
        <v>5.5</v>
      </c>
      <c r="F54">
        <v>0</v>
      </c>
      <c r="G54">
        <v>141</v>
      </c>
      <c r="H54">
        <v>62.217100000000002</v>
      </c>
      <c r="I54">
        <v>6.9097999999999997</v>
      </c>
    </row>
    <row r="55" spans="1:9" x14ac:dyDescent="0.55000000000000004">
      <c r="A55" t="s">
        <v>96</v>
      </c>
      <c r="B55" t="s">
        <v>38</v>
      </c>
      <c r="C55" t="s">
        <v>38</v>
      </c>
      <c r="D55">
        <v>10.6</v>
      </c>
      <c r="E55">
        <v>10.6</v>
      </c>
      <c r="F55">
        <v>0</v>
      </c>
      <c r="G55">
        <v>161</v>
      </c>
      <c r="H55">
        <v>61.920644099999997</v>
      </c>
      <c r="I55">
        <v>6.0118764999999996</v>
      </c>
    </row>
    <row r="56" spans="1:9" x14ac:dyDescent="0.55000000000000004">
      <c r="A56" t="s">
        <v>97</v>
      </c>
      <c r="B56" t="s">
        <v>38</v>
      </c>
      <c r="C56" t="s">
        <v>38</v>
      </c>
      <c r="D56">
        <v>11.5</v>
      </c>
      <c r="E56">
        <v>11.5</v>
      </c>
      <c r="F56">
        <v>0</v>
      </c>
      <c r="G56">
        <v>76</v>
      </c>
      <c r="H56">
        <v>63.268192799999987</v>
      </c>
      <c r="I56">
        <v>10.4582701</v>
      </c>
    </row>
    <row r="57" spans="1:9" x14ac:dyDescent="0.55000000000000004">
      <c r="A57" t="s">
        <v>98</v>
      </c>
      <c r="B57" t="s">
        <v>38</v>
      </c>
      <c r="C57" t="s">
        <v>38</v>
      </c>
      <c r="D57">
        <v>40</v>
      </c>
      <c r="E57">
        <v>40</v>
      </c>
      <c r="F57">
        <v>0</v>
      </c>
      <c r="G57">
        <v>161</v>
      </c>
      <c r="H57">
        <v>62.009125699999998</v>
      </c>
      <c r="I57">
        <v>5.8372717999999999</v>
      </c>
    </row>
    <row r="58" spans="1:9" x14ac:dyDescent="0.55000000000000004">
      <c r="A58" t="s">
        <v>99</v>
      </c>
      <c r="B58" t="s">
        <v>38</v>
      </c>
      <c r="C58" t="s">
        <v>38</v>
      </c>
      <c r="D58">
        <v>35</v>
      </c>
      <c r="E58">
        <v>35</v>
      </c>
      <c r="F58">
        <v>0</v>
      </c>
      <c r="G58">
        <v>79</v>
      </c>
      <c r="H58">
        <v>61.946797599999996</v>
      </c>
      <c r="I58">
        <v>7.828136999999999</v>
      </c>
    </row>
    <row r="59" spans="1:9" x14ac:dyDescent="0.55000000000000004">
      <c r="A59" t="s">
        <v>100</v>
      </c>
      <c r="B59" t="s">
        <v>38</v>
      </c>
      <c r="C59" t="s">
        <v>38</v>
      </c>
      <c r="D59">
        <v>9</v>
      </c>
      <c r="E59">
        <v>9</v>
      </c>
      <c r="F59">
        <v>0</v>
      </c>
      <c r="G59">
        <v>161</v>
      </c>
      <c r="H59">
        <v>61.816666699999999</v>
      </c>
      <c r="I59">
        <v>6.15</v>
      </c>
    </row>
    <row r="60" spans="1:9" x14ac:dyDescent="0.55000000000000004">
      <c r="A60" t="s">
        <v>101</v>
      </c>
      <c r="B60" t="s">
        <v>38</v>
      </c>
      <c r="C60" t="s">
        <v>38</v>
      </c>
      <c r="D60">
        <v>16.3</v>
      </c>
      <c r="E60">
        <v>16.3</v>
      </c>
      <c r="F60">
        <v>0</v>
      </c>
      <c r="G60">
        <v>139</v>
      </c>
      <c r="H60">
        <v>63.219245399999991</v>
      </c>
      <c r="I60">
        <v>11.04129</v>
      </c>
    </row>
    <row r="61" spans="1:9" x14ac:dyDescent="0.55000000000000004">
      <c r="A61" t="s">
        <v>102</v>
      </c>
      <c r="B61" t="s">
        <v>38</v>
      </c>
      <c r="C61" t="s">
        <v>38</v>
      </c>
      <c r="D61">
        <v>45</v>
      </c>
      <c r="E61">
        <v>45</v>
      </c>
      <c r="F61">
        <v>0</v>
      </c>
      <c r="G61">
        <v>107</v>
      </c>
      <c r="H61">
        <v>63.290570000000002</v>
      </c>
      <c r="I61">
        <v>9.0890899999999988</v>
      </c>
    </row>
    <row r="62" spans="1:9" x14ac:dyDescent="0.55000000000000004">
      <c r="A62" t="s">
        <v>103</v>
      </c>
      <c r="B62" t="s">
        <v>38</v>
      </c>
      <c r="C62" t="s">
        <v>38</v>
      </c>
      <c r="D62">
        <v>8</v>
      </c>
      <c r="E62">
        <v>8</v>
      </c>
      <c r="F62">
        <v>0</v>
      </c>
      <c r="G62">
        <v>161</v>
      </c>
      <c r="H62">
        <v>62.167462600000007</v>
      </c>
      <c r="I62">
        <v>5.5608660999999966</v>
      </c>
    </row>
    <row r="63" spans="1:9" x14ac:dyDescent="0.55000000000000004">
      <c r="A63" t="s">
        <v>104</v>
      </c>
      <c r="B63" t="s">
        <v>38</v>
      </c>
      <c r="C63" t="s">
        <v>38</v>
      </c>
      <c r="D63">
        <v>4.5999999999999996</v>
      </c>
      <c r="E63">
        <v>4.5999999999999996</v>
      </c>
      <c r="F63">
        <v>0</v>
      </c>
      <c r="G63">
        <v>141</v>
      </c>
      <c r="H63">
        <v>62.309640000000002</v>
      </c>
      <c r="I63">
        <v>6.9358199999999997</v>
      </c>
    </row>
    <row r="64" spans="1:9" x14ac:dyDescent="0.55000000000000004">
      <c r="A64" t="s">
        <v>105</v>
      </c>
      <c r="B64" t="s">
        <v>38</v>
      </c>
      <c r="C64" t="s">
        <v>38</v>
      </c>
      <c r="D64">
        <v>10</v>
      </c>
      <c r="E64">
        <v>10</v>
      </c>
      <c r="F64">
        <v>0</v>
      </c>
      <c r="G64">
        <v>161</v>
      </c>
      <c r="H64">
        <v>62.004661499999997</v>
      </c>
      <c r="I64">
        <v>5.8543174000000002</v>
      </c>
    </row>
    <row r="65" spans="1:9" x14ac:dyDescent="0.55000000000000004">
      <c r="A65" t="s">
        <v>106</v>
      </c>
      <c r="B65" t="s">
        <v>38</v>
      </c>
      <c r="C65" t="s">
        <v>38</v>
      </c>
      <c r="D65">
        <v>36.6</v>
      </c>
      <c r="E65">
        <v>36.6</v>
      </c>
      <c r="F65">
        <v>0</v>
      </c>
      <c r="G65">
        <v>141</v>
      </c>
      <c r="H65">
        <v>62.381817899999987</v>
      </c>
      <c r="I65">
        <v>6.9920547000000024</v>
      </c>
    </row>
    <row r="66" spans="1:9" x14ac:dyDescent="0.55000000000000004">
      <c r="A66" t="s">
        <v>107</v>
      </c>
      <c r="B66" t="s">
        <v>38</v>
      </c>
      <c r="C66" t="s">
        <v>38</v>
      </c>
      <c r="D66">
        <v>5</v>
      </c>
      <c r="E66">
        <v>5</v>
      </c>
      <c r="F66">
        <v>0</v>
      </c>
      <c r="G66">
        <v>77</v>
      </c>
      <c r="H66">
        <v>63.266666700000002</v>
      </c>
      <c r="I66">
        <v>9.8333333000000014</v>
      </c>
    </row>
    <row r="67" spans="1:9" x14ac:dyDescent="0.55000000000000004">
      <c r="A67" t="s">
        <v>108</v>
      </c>
      <c r="B67" t="s">
        <v>38</v>
      </c>
      <c r="C67" t="s">
        <v>38</v>
      </c>
      <c r="D67">
        <v>3.7</v>
      </c>
      <c r="E67">
        <v>3.7</v>
      </c>
      <c r="F67">
        <v>0</v>
      </c>
      <c r="G67">
        <v>161</v>
      </c>
      <c r="H67">
        <v>61.74977719999999</v>
      </c>
      <c r="I67">
        <v>6.2766851000000008</v>
      </c>
    </row>
    <row r="68" spans="1:9" x14ac:dyDescent="0.55000000000000004">
      <c r="A68" t="s">
        <v>109</v>
      </c>
      <c r="B68" t="s">
        <v>38</v>
      </c>
      <c r="C68" t="s">
        <v>38</v>
      </c>
      <c r="D68">
        <v>5.7</v>
      </c>
      <c r="E68">
        <v>5.7</v>
      </c>
      <c r="F68">
        <v>0</v>
      </c>
      <c r="G68">
        <v>141</v>
      </c>
      <c r="H68">
        <v>62.212875399999987</v>
      </c>
      <c r="I68">
        <v>6.5668392999999998</v>
      </c>
    </row>
    <row r="69" spans="1:9" x14ac:dyDescent="0.55000000000000004">
      <c r="A69" t="s">
        <v>110</v>
      </c>
      <c r="B69" t="s">
        <v>38</v>
      </c>
      <c r="C69" t="s">
        <v>38</v>
      </c>
      <c r="D69">
        <v>5.6</v>
      </c>
      <c r="E69">
        <v>5.6</v>
      </c>
      <c r="F69">
        <v>0</v>
      </c>
      <c r="G69">
        <v>141</v>
      </c>
      <c r="H69">
        <v>62.260845699999997</v>
      </c>
      <c r="I69">
        <v>6.5005457999999994</v>
      </c>
    </row>
    <row r="70" spans="1:9" x14ac:dyDescent="0.55000000000000004">
      <c r="A70" t="s">
        <v>111</v>
      </c>
      <c r="B70" t="s">
        <v>38</v>
      </c>
      <c r="C70" t="s">
        <v>38</v>
      </c>
      <c r="D70">
        <v>2</v>
      </c>
      <c r="E70">
        <v>2</v>
      </c>
      <c r="F70">
        <v>0</v>
      </c>
      <c r="G70">
        <v>141</v>
      </c>
      <c r="H70">
        <v>62.391900300000003</v>
      </c>
      <c r="I70">
        <v>6.5980089000000008</v>
      </c>
    </row>
    <row r="71" spans="1:9" x14ac:dyDescent="0.55000000000000004">
      <c r="A71" t="s">
        <v>112</v>
      </c>
      <c r="B71" t="s">
        <v>38</v>
      </c>
      <c r="C71" t="s">
        <v>38</v>
      </c>
      <c r="D71">
        <v>12</v>
      </c>
      <c r="E71">
        <v>12</v>
      </c>
      <c r="F71">
        <v>0</v>
      </c>
      <c r="G71">
        <v>77</v>
      </c>
      <c r="H71">
        <v>63.216666700000012</v>
      </c>
      <c r="I71">
        <v>9.6333333000000021</v>
      </c>
    </row>
    <row r="72" spans="1:9" x14ac:dyDescent="0.55000000000000004">
      <c r="A72" t="s">
        <v>113</v>
      </c>
      <c r="B72" t="s">
        <v>56</v>
      </c>
      <c r="C72" t="s">
        <v>57</v>
      </c>
      <c r="D72">
        <v>37.5</v>
      </c>
      <c r="E72">
        <v>37.5</v>
      </c>
      <c r="F72">
        <v>0</v>
      </c>
      <c r="G72">
        <v>107</v>
      </c>
      <c r="H72">
        <v>63.408431600000007</v>
      </c>
      <c r="I72">
        <v>8.6937046000000002</v>
      </c>
    </row>
    <row r="73" spans="1:9" x14ac:dyDescent="0.55000000000000004">
      <c r="A73" t="s">
        <v>114</v>
      </c>
      <c r="B73" t="s">
        <v>38</v>
      </c>
      <c r="C73" t="s">
        <v>38</v>
      </c>
      <c r="D73">
        <v>16</v>
      </c>
      <c r="E73">
        <v>16</v>
      </c>
      <c r="F73">
        <v>0</v>
      </c>
      <c r="G73">
        <v>138</v>
      </c>
      <c r="H73">
        <v>63.966667000000001</v>
      </c>
      <c r="I73">
        <v>10.199999999999999</v>
      </c>
    </row>
    <row r="74" spans="1:9" x14ac:dyDescent="0.55000000000000004">
      <c r="A74" t="s">
        <v>115</v>
      </c>
      <c r="B74" t="s">
        <v>38</v>
      </c>
      <c r="C74" t="s">
        <v>38</v>
      </c>
      <c r="D74">
        <v>108</v>
      </c>
      <c r="E74">
        <v>108</v>
      </c>
      <c r="F74">
        <v>0</v>
      </c>
      <c r="G74">
        <v>139</v>
      </c>
      <c r="H74">
        <v>63.416168900000002</v>
      </c>
      <c r="I74">
        <v>11.7372151</v>
      </c>
    </row>
    <row r="75" spans="1:9" x14ac:dyDescent="0.55000000000000004">
      <c r="A75" t="s">
        <v>116</v>
      </c>
      <c r="B75" t="s">
        <v>38</v>
      </c>
      <c r="C75" t="s">
        <v>38</v>
      </c>
      <c r="D75">
        <v>28</v>
      </c>
      <c r="E75">
        <v>28</v>
      </c>
      <c r="F75">
        <v>0</v>
      </c>
      <c r="G75">
        <v>45</v>
      </c>
      <c r="H75">
        <v>62.516666700000002</v>
      </c>
      <c r="I75">
        <v>8.5</v>
      </c>
    </row>
    <row r="76" spans="1:9" x14ac:dyDescent="0.55000000000000004">
      <c r="A76" t="s">
        <v>117</v>
      </c>
      <c r="B76" t="s">
        <v>38</v>
      </c>
      <c r="C76" t="s">
        <v>38</v>
      </c>
      <c r="D76">
        <v>5</v>
      </c>
      <c r="E76">
        <v>5</v>
      </c>
      <c r="F76">
        <v>0</v>
      </c>
      <c r="G76">
        <v>176</v>
      </c>
      <c r="H76">
        <v>64.421139799999992</v>
      </c>
      <c r="I76">
        <v>10.0377767</v>
      </c>
    </row>
    <row r="77" spans="1:9" x14ac:dyDescent="0.55000000000000004">
      <c r="A77" t="s">
        <v>118</v>
      </c>
      <c r="B77" t="s">
        <v>38</v>
      </c>
      <c r="C77" t="s">
        <v>38</v>
      </c>
      <c r="D77">
        <v>9.5</v>
      </c>
      <c r="E77">
        <v>9.5</v>
      </c>
      <c r="F77">
        <v>0</v>
      </c>
      <c r="G77">
        <v>141</v>
      </c>
      <c r="H77">
        <v>62.357509999999998</v>
      </c>
      <c r="I77">
        <v>6.5719160000000008</v>
      </c>
    </row>
    <row r="78" spans="1:9" x14ac:dyDescent="0.55000000000000004">
      <c r="A78" t="s">
        <v>119</v>
      </c>
      <c r="B78" t="s">
        <v>38</v>
      </c>
      <c r="C78" t="s">
        <v>43</v>
      </c>
      <c r="D78">
        <v>30</v>
      </c>
      <c r="E78">
        <v>30</v>
      </c>
      <c r="F78">
        <v>0</v>
      </c>
      <c r="G78">
        <v>161</v>
      </c>
      <c r="H78">
        <v>61.841830000000002</v>
      </c>
      <c r="I78">
        <v>5.8013399999999997</v>
      </c>
    </row>
    <row r="79" spans="1:9" x14ac:dyDescent="0.55000000000000004">
      <c r="A79" t="s">
        <v>120</v>
      </c>
      <c r="B79" t="s">
        <v>38</v>
      </c>
      <c r="C79" t="s">
        <v>39</v>
      </c>
      <c r="D79">
        <v>130</v>
      </c>
      <c r="E79">
        <v>130</v>
      </c>
      <c r="F79">
        <v>0</v>
      </c>
      <c r="G79">
        <v>107</v>
      </c>
      <c r="H79">
        <v>63.002761</v>
      </c>
      <c r="I79">
        <v>9.0191520000000001</v>
      </c>
    </row>
    <row r="80" spans="1:9" x14ac:dyDescent="0.55000000000000004">
      <c r="A80" t="s">
        <v>121</v>
      </c>
      <c r="B80" t="s">
        <v>38</v>
      </c>
      <c r="C80" t="s">
        <v>38</v>
      </c>
      <c r="D80">
        <v>1.5</v>
      </c>
      <c r="E80">
        <v>1.5</v>
      </c>
      <c r="F80">
        <v>0</v>
      </c>
      <c r="G80">
        <v>77</v>
      </c>
      <c r="H80">
        <v>63.513787200000003</v>
      </c>
      <c r="I80">
        <v>9.6812501999999991</v>
      </c>
    </row>
    <row r="81" spans="1:9" x14ac:dyDescent="0.55000000000000004">
      <c r="A81" t="s">
        <v>122</v>
      </c>
      <c r="B81" t="s">
        <v>38</v>
      </c>
      <c r="C81" t="s">
        <v>38</v>
      </c>
      <c r="D81">
        <v>3.5</v>
      </c>
      <c r="E81">
        <v>3.5</v>
      </c>
      <c r="F81">
        <v>0</v>
      </c>
      <c r="G81">
        <v>77</v>
      </c>
      <c r="H81">
        <v>63.615011700000011</v>
      </c>
      <c r="I81">
        <v>9.7131293000000003</v>
      </c>
    </row>
    <row r="82" spans="1:9" x14ac:dyDescent="0.55000000000000004">
      <c r="A82" t="s">
        <v>123</v>
      </c>
      <c r="B82" t="s">
        <v>38</v>
      </c>
      <c r="C82" t="s">
        <v>38</v>
      </c>
      <c r="D82">
        <v>4.4000000000000004</v>
      </c>
      <c r="E82">
        <v>4.4000000000000004</v>
      </c>
      <c r="F82">
        <v>0</v>
      </c>
      <c r="G82">
        <v>107</v>
      </c>
      <c r="H82">
        <v>63.095562100000002</v>
      </c>
      <c r="I82">
        <v>9.1879674999999992</v>
      </c>
    </row>
    <row r="83" spans="1:9" x14ac:dyDescent="0.55000000000000004">
      <c r="A83" t="s">
        <v>124</v>
      </c>
      <c r="B83" t="s">
        <v>38</v>
      </c>
      <c r="C83" t="s">
        <v>38</v>
      </c>
      <c r="D83">
        <v>0.3</v>
      </c>
      <c r="E83">
        <v>0.3</v>
      </c>
      <c r="F83">
        <v>0</v>
      </c>
      <c r="G83">
        <v>161</v>
      </c>
      <c r="H83">
        <v>61.940724699999997</v>
      </c>
      <c r="I83">
        <v>5.4489538999999994</v>
      </c>
    </row>
    <row r="84" spans="1:9" x14ac:dyDescent="0.55000000000000004">
      <c r="A84" t="s">
        <v>125</v>
      </c>
      <c r="B84" t="s">
        <v>38</v>
      </c>
      <c r="C84" t="s">
        <v>38</v>
      </c>
      <c r="D84">
        <v>8.1999999999999993</v>
      </c>
      <c r="E84">
        <v>8.1999999999999993</v>
      </c>
      <c r="F84">
        <v>0</v>
      </c>
      <c r="G84">
        <v>161</v>
      </c>
      <c r="H84">
        <v>61.7557051</v>
      </c>
      <c r="I84">
        <v>6.2465699999999984</v>
      </c>
    </row>
    <row r="85" spans="1:9" x14ac:dyDescent="0.55000000000000004">
      <c r="A85" t="s">
        <v>126</v>
      </c>
      <c r="B85" t="s">
        <v>38</v>
      </c>
      <c r="C85" t="s">
        <v>38</v>
      </c>
      <c r="D85">
        <v>4.8</v>
      </c>
      <c r="E85">
        <v>4.8</v>
      </c>
      <c r="F85">
        <v>0</v>
      </c>
      <c r="G85">
        <v>139</v>
      </c>
      <c r="H85">
        <v>63.443506999999997</v>
      </c>
      <c r="I85">
        <v>10.981521600000001</v>
      </c>
    </row>
    <row r="86" spans="1:9" x14ac:dyDescent="0.55000000000000004">
      <c r="A86" t="s">
        <v>127</v>
      </c>
      <c r="B86" t="s">
        <v>38</v>
      </c>
      <c r="C86" t="s">
        <v>38</v>
      </c>
      <c r="D86">
        <v>8.1</v>
      </c>
      <c r="E86">
        <v>8.1</v>
      </c>
      <c r="F86">
        <v>0</v>
      </c>
      <c r="G86">
        <v>139</v>
      </c>
      <c r="H86">
        <v>63.269995499999993</v>
      </c>
      <c r="I86">
        <v>11.006936400000001</v>
      </c>
    </row>
    <row r="87" spans="1:9" x14ac:dyDescent="0.55000000000000004">
      <c r="A87" t="s">
        <v>128</v>
      </c>
      <c r="B87" t="s">
        <v>38</v>
      </c>
      <c r="C87" t="s">
        <v>38</v>
      </c>
      <c r="D87">
        <v>5.5</v>
      </c>
      <c r="E87">
        <v>5.5</v>
      </c>
      <c r="F87">
        <v>0</v>
      </c>
      <c r="G87">
        <v>161</v>
      </c>
      <c r="H87">
        <v>62.2034454</v>
      </c>
      <c r="I87">
        <v>5.1708737999999999</v>
      </c>
    </row>
    <row r="88" spans="1:9" x14ac:dyDescent="0.55000000000000004">
      <c r="A88" t="s">
        <v>129</v>
      </c>
      <c r="B88" t="s">
        <v>38</v>
      </c>
      <c r="C88" t="s">
        <v>38</v>
      </c>
      <c r="D88">
        <v>40</v>
      </c>
      <c r="E88">
        <v>40</v>
      </c>
      <c r="F88">
        <v>0</v>
      </c>
      <c r="G88">
        <v>45</v>
      </c>
      <c r="H88">
        <v>62.643983700000007</v>
      </c>
      <c r="I88">
        <v>8.7299540000000011</v>
      </c>
    </row>
    <row r="89" spans="1:9" x14ac:dyDescent="0.55000000000000004">
      <c r="A89" t="s">
        <v>130</v>
      </c>
      <c r="B89" t="s">
        <v>38</v>
      </c>
      <c r="C89" t="s">
        <v>38</v>
      </c>
      <c r="D89">
        <v>0.4</v>
      </c>
      <c r="E89">
        <v>0.4</v>
      </c>
      <c r="F89">
        <v>0</v>
      </c>
      <c r="G89">
        <v>107</v>
      </c>
      <c r="H89">
        <v>63.313609</v>
      </c>
      <c r="I89">
        <v>9.1423079999999999</v>
      </c>
    </row>
    <row r="90" spans="1:9" x14ac:dyDescent="0.55000000000000004">
      <c r="A90" t="s">
        <v>131</v>
      </c>
      <c r="B90" t="s">
        <v>38</v>
      </c>
      <c r="C90" t="s">
        <v>38</v>
      </c>
      <c r="D90">
        <v>2</v>
      </c>
      <c r="E90">
        <v>2</v>
      </c>
      <c r="F90">
        <v>0</v>
      </c>
      <c r="G90">
        <v>45</v>
      </c>
      <c r="H90">
        <v>63.463441699999997</v>
      </c>
      <c r="I90">
        <v>8.0138783</v>
      </c>
    </row>
    <row r="91" spans="1:9" x14ac:dyDescent="0.55000000000000004">
      <c r="A91" t="s">
        <v>132</v>
      </c>
      <c r="B91" t="s">
        <v>38</v>
      </c>
      <c r="C91" t="s">
        <v>38</v>
      </c>
      <c r="D91">
        <v>105</v>
      </c>
      <c r="E91">
        <v>105</v>
      </c>
      <c r="F91">
        <v>0</v>
      </c>
      <c r="G91">
        <v>62</v>
      </c>
      <c r="H91">
        <v>62.719549000000001</v>
      </c>
      <c r="I91">
        <v>10.0280798</v>
      </c>
    </row>
    <row r="92" spans="1:9" x14ac:dyDescent="0.55000000000000004">
      <c r="A92" t="s">
        <v>133</v>
      </c>
      <c r="B92" t="s">
        <v>38</v>
      </c>
      <c r="C92" t="s">
        <v>38</v>
      </c>
      <c r="D92">
        <v>4.8</v>
      </c>
      <c r="E92">
        <v>4.8</v>
      </c>
      <c r="F92">
        <v>0</v>
      </c>
      <c r="G92">
        <v>161</v>
      </c>
      <c r="H92">
        <v>61.7171059</v>
      </c>
      <c r="I92">
        <v>6.2347906999999996</v>
      </c>
    </row>
    <row r="93" spans="1:9" x14ac:dyDescent="0.55000000000000004">
      <c r="A93" t="s">
        <v>134</v>
      </c>
      <c r="B93" t="s">
        <v>38</v>
      </c>
      <c r="C93" t="s">
        <v>38</v>
      </c>
      <c r="D93">
        <v>2.4</v>
      </c>
      <c r="E93">
        <v>2.4</v>
      </c>
      <c r="F93">
        <v>0</v>
      </c>
      <c r="G93">
        <v>108</v>
      </c>
      <c r="H93">
        <v>62.793325099999997</v>
      </c>
      <c r="I93">
        <v>11.188310299999999</v>
      </c>
    </row>
    <row r="94" spans="1:9" x14ac:dyDescent="0.55000000000000004">
      <c r="A94" t="s">
        <v>135</v>
      </c>
      <c r="B94" t="s">
        <v>38</v>
      </c>
      <c r="C94" t="s">
        <v>38</v>
      </c>
      <c r="D94">
        <v>12.7</v>
      </c>
      <c r="E94">
        <v>12.7</v>
      </c>
      <c r="F94">
        <v>0</v>
      </c>
      <c r="G94">
        <v>108</v>
      </c>
      <c r="H94">
        <v>62.678901799999991</v>
      </c>
      <c r="I94">
        <v>11.4618021</v>
      </c>
    </row>
    <row r="95" spans="1:9" x14ac:dyDescent="0.55000000000000004">
      <c r="A95" t="s">
        <v>136</v>
      </c>
      <c r="B95" t="s">
        <v>38</v>
      </c>
      <c r="C95" t="s">
        <v>38</v>
      </c>
      <c r="D95">
        <v>12.7</v>
      </c>
      <c r="E95">
        <v>12.7</v>
      </c>
      <c r="F95">
        <v>0</v>
      </c>
      <c r="G95">
        <v>176</v>
      </c>
      <c r="H95">
        <v>64.504051100000012</v>
      </c>
      <c r="I95">
        <v>11.510163</v>
      </c>
    </row>
    <row r="96" spans="1:9" x14ac:dyDescent="0.55000000000000004">
      <c r="A96" t="s">
        <v>137</v>
      </c>
      <c r="B96" t="s">
        <v>38</v>
      </c>
      <c r="C96" t="s">
        <v>38</v>
      </c>
      <c r="D96">
        <v>3</v>
      </c>
      <c r="E96">
        <v>3</v>
      </c>
      <c r="F96">
        <v>0</v>
      </c>
      <c r="G96">
        <v>107</v>
      </c>
      <c r="H96">
        <v>63.045076500000008</v>
      </c>
      <c r="I96">
        <v>8.8672097000000001</v>
      </c>
    </row>
    <row r="97" spans="1:9" x14ac:dyDescent="0.55000000000000004">
      <c r="A97" t="s">
        <v>138</v>
      </c>
      <c r="B97" t="s">
        <v>38</v>
      </c>
      <c r="C97" t="s">
        <v>38</v>
      </c>
      <c r="D97">
        <v>13.7</v>
      </c>
      <c r="E97">
        <v>13.7</v>
      </c>
      <c r="F97">
        <v>0</v>
      </c>
      <c r="G97">
        <v>138</v>
      </c>
      <c r="H97">
        <v>64.015019299999992</v>
      </c>
      <c r="I97">
        <v>11.4952627</v>
      </c>
    </row>
    <row r="98" spans="1:9" x14ac:dyDescent="0.55000000000000004">
      <c r="A98" t="s">
        <v>139</v>
      </c>
      <c r="B98" t="s">
        <v>38</v>
      </c>
      <c r="C98" t="s">
        <v>38</v>
      </c>
      <c r="D98">
        <v>41</v>
      </c>
      <c r="E98">
        <v>41</v>
      </c>
      <c r="F98">
        <v>0</v>
      </c>
      <c r="G98">
        <v>77</v>
      </c>
      <c r="H98">
        <v>63.302412999999987</v>
      </c>
      <c r="I98">
        <v>9.8477710999999992</v>
      </c>
    </row>
    <row r="99" spans="1:9" x14ac:dyDescent="0.55000000000000004">
      <c r="A99" t="s">
        <v>140</v>
      </c>
      <c r="B99" t="s">
        <v>38</v>
      </c>
      <c r="C99" t="s">
        <v>38</v>
      </c>
      <c r="D99">
        <v>1.3</v>
      </c>
      <c r="E99">
        <v>1.3</v>
      </c>
      <c r="F99">
        <v>0</v>
      </c>
      <c r="G99">
        <v>139</v>
      </c>
      <c r="H99">
        <v>63.219245399999991</v>
      </c>
      <c r="I99">
        <v>11.04129</v>
      </c>
    </row>
    <row r="100" spans="1:9" x14ac:dyDescent="0.55000000000000004">
      <c r="A100" t="s">
        <v>141</v>
      </c>
      <c r="B100" t="s">
        <v>56</v>
      </c>
      <c r="C100" t="s">
        <v>57</v>
      </c>
      <c r="D100">
        <v>31</v>
      </c>
      <c r="E100">
        <v>31</v>
      </c>
      <c r="F100">
        <v>0</v>
      </c>
      <c r="G100">
        <v>77</v>
      </c>
      <c r="H100">
        <v>63.320584900000007</v>
      </c>
      <c r="I100">
        <v>9.8825433</v>
      </c>
    </row>
    <row r="101" spans="1:9" x14ac:dyDescent="0.55000000000000004">
      <c r="A101" t="s">
        <v>142</v>
      </c>
      <c r="B101" t="s">
        <v>38</v>
      </c>
      <c r="C101" t="s">
        <v>38</v>
      </c>
      <c r="D101">
        <v>6.5</v>
      </c>
      <c r="E101">
        <v>6.5</v>
      </c>
      <c r="F101">
        <v>0</v>
      </c>
      <c r="G101">
        <v>30</v>
      </c>
      <c r="H101">
        <v>61.875170100000012</v>
      </c>
      <c r="I101">
        <v>9.0966266000000005</v>
      </c>
    </row>
    <row r="102" spans="1:9" x14ac:dyDescent="0.55000000000000004">
      <c r="A102" t="s">
        <v>143</v>
      </c>
      <c r="B102" t="s">
        <v>38</v>
      </c>
      <c r="C102" t="s">
        <v>38</v>
      </c>
      <c r="D102">
        <v>23.9</v>
      </c>
      <c r="E102">
        <v>23.9</v>
      </c>
      <c r="F102">
        <v>0</v>
      </c>
      <c r="G102">
        <v>105</v>
      </c>
      <c r="H102">
        <v>63.750598100000012</v>
      </c>
      <c r="I102">
        <v>11.916895</v>
      </c>
    </row>
    <row r="103" spans="1:9" x14ac:dyDescent="0.55000000000000004">
      <c r="A103" t="s">
        <v>144</v>
      </c>
      <c r="B103" t="s">
        <v>38</v>
      </c>
      <c r="C103" t="s">
        <v>38</v>
      </c>
      <c r="D103">
        <v>8.4</v>
      </c>
      <c r="E103">
        <v>8.4</v>
      </c>
      <c r="F103">
        <v>0</v>
      </c>
      <c r="G103">
        <v>79</v>
      </c>
      <c r="H103">
        <v>62.343329700000012</v>
      </c>
      <c r="I103">
        <v>8.0588759000000003</v>
      </c>
    </row>
    <row r="104" spans="1:9" x14ac:dyDescent="0.55000000000000004">
      <c r="A104" t="s">
        <v>145</v>
      </c>
      <c r="B104" t="s">
        <v>38</v>
      </c>
      <c r="C104" t="s">
        <v>38</v>
      </c>
      <c r="D104">
        <v>3.2</v>
      </c>
      <c r="E104">
        <v>3.2</v>
      </c>
      <c r="F104">
        <v>0</v>
      </c>
      <c r="G104">
        <v>109</v>
      </c>
      <c r="H104">
        <v>61.871614100000009</v>
      </c>
      <c r="I104">
        <v>6.8477066000000004</v>
      </c>
    </row>
    <row r="105" spans="1:9" x14ac:dyDescent="0.55000000000000004">
      <c r="A105" t="s">
        <v>146</v>
      </c>
      <c r="B105" t="s">
        <v>38</v>
      </c>
      <c r="C105" t="s">
        <v>38</v>
      </c>
      <c r="D105">
        <v>5.5</v>
      </c>
      <c r="E105">
        <v>5.5</v>
      </c>
      <c r="F105">
        <v>0</v>
      </c>
      <c r="G105">
        <v>141</v>
      </c>
      <c r="H105">
        <v>62.139749200000011</v>
      </c>
      <c r="I105">
        <v>6.6117854999999999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workbookViewId="0">
      <selection activeCell="F25" sqref="F25"/>
    </sheetView>
  </sheetViews>
  <sheetFormatPr defaultColWidth="8.734375" defaultRowHeight="14.4" x14ac:dyDescent="0.55000000000000004"/>
  <cols>
    <col min="12" max="12" width="0" hidden="1" customWidth="1"/>
  </cols>
  <sheetData>
    <row r="1" spans="1:13" x14ac:dyDescent="0.55000000000000004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3</v>
      </c>
      <c r="G1" s="1" t="s">
        <v>4</v>
      </c>
      <c r="H1" s="1" t="s">
        <v>5</v>
      </c>
      <c r="I1" s="1" t="s">
        <v>152</v>
      </c>
      <c r="J1" s="1" t="s">
        <v>153</v>
      </c>
      <c r="K1" s="1" t="s">
        <v>154</v>
      </c>
      <c r="L1" s="1" t="s">
        <v>1</v>
      </c>
      <c r="M1" s="1" t="s">
        <v>219</v>
      </c>
    </row>
    <row r="2" spans="1:13" x14ac:dyDescent="0.55000000000000004">
      <c r="A2">
        <v>1166</v>
      </c>
      <c r="B2" t="s">
        <v>14</v>
      </c>
      <c r="C2">
        <v>77</v>
      </c>
      <c r="D2">
        <v>107</v>
      </c>
      <c r="E2">
        <v>33284.984373810199</v>
      </c>
      <c r="F2">
        <v>132</v>
      </c>
      <c r="G2" t="s">
        <v>155</v>
      </c>
      <c r="H2" t="s">
        <v>156</v>
      </c>
      <c r="I2">
        <v>1.1461763862794841E-2</v>
      </c>
      <c r="J2">
        <v>5.7499886917566988E-2</v>
      </c>
      <c r="K2">
        <v>6.7677365007369585E-10</v>
      </c>
      <c r="L2" t="s">
        <v>157</v>
      </c>
      <c r="M2">
        <v>10943</v>
      </c>
    </row>
    <row r="3" spans="1:13" x14ac:dyDescent="0.55000000000000004">
      <c r="A3">
        <v>1334</v>
      </c>
      <c r="B3" t="s">
        <v>14</v>
      </c>
      <c r="C3">
        <v>46</v>
      </c>
      <c r="D3">
        <v>62</v>
      </c>
      <c r="E3">
        <v>9416.3881286834712</v>
      </c>
      <c r="F3">
        <v>132</v>
      </c>
      <c r="G3" t="s">
        <v>158</v>
      </c>
      <c r="H3" t="s">
        <v>159</v>
      </c>
      <c r="I3">
        <v>3.2425557410300722E-3</v>
      </c>
      <c r="J3">
        <v>1.626683210935333E-2</v>
      </c>
      <c r="K3">
        <v>2.3922548709192738E-9</v>
      </c>
      <c r="L3" t="s">
        <v>160</v>
      </c>
      <c r="M3" t="s">
        <v>220</v>
      </c>
    </row>
    <row r="4" spans="1:13" x14ac:dyDescent="0.55000000000000004">
      <c r="A4">
        <v>1335</v>
      </c>
      <c r="B4" t="s">
        <v>14</v>
      </c>
      <c r="C4">
        <v>62</v>
      </c>
      <c r="D4">
        <v>80</v>
      </c>
      <c r="E4">
        <v>13461.7625221208</v>
      </c>
      <c r="F4">
        <v>132</v>
      </c>
      <c r="G4" t="s">
        <v>161</v>
      </c>
      <c r="H4" t="s">
        <v>162</v>
      </c>
      <c r="I4">
        <v>4.6355900748739787E-3</v>
      </c>
      <c r="J4">
        <v>2.325522566091805E-2</v>
      </c>
      <c r="K4">
        <v>1.67336188929892E-9</v>
      </c>
      <c r="L4" t="s">
        <v>160</v>
      </c>
    </row>
    <row r="5" spans="1:13" x14ac:dyDescent="0.55000000000000004">
      <c r="A5">
        <v>1336</v>
      </c>
      <c r="B5" t="s">
        <v>14</v>
      </c>
      <c r="C5">
        <v>107</v>
      </c>
      <c r="D5">
        <v>80</v>
      </c>
      <c r="E5">
        <v>36654.9311625271</v>
      </c>
      <c r="F5">
        <v>132</v>
      </c>
      <c r="G5" t="s">
        <v>163</v>
      </c>
      <c r="H5" t="s">
        <v>164</v>
      </c>
      <c r="I5">
        <v>1.262221308784686E-2</v>
      </c>
      <c r="J5">
        <v>6.3321477731408726E-2</v>
      </c>
      <c r="K5">
        <v>6.1455306701922131E-10</v>
      </c>
      <c r="L5" t="s">
        <v>165</v>
      </c>
      <c r="M5">
        <v>3343</v>
      </c>
    </row>
    <row r="6" spans="1:13" x14ac:dyDescent="0.55000000000000004">
      <c r="A6">
        <v>1165</v>
      </c>
      <c r="B6" t="s">
        <v>14</v>
      </c>
      <c r="C6">
        <v>141</v>
      </c>
      <c r="D6">
        <v>161</v>
      </c>
      <c r="E6">
        <v>125981.474688156</v>
      </c>
      <c r="F6">
        <v>132</v>
      </c>
      <c r="G6" t="s">
        <v>166</v>
      </c>
      <c r="H6" t="s">
        <v>167</v>
      </c>
      <c r="I6">
        <v>4.3382021687186828E-2</v>
      </c>
      <c r="J6">
        <v>0.2176332867374596</v>
      </c>
      <c r="K6">
        <v>1.7880724466092671E-10</v>
      </c>
      <c r="L6" t="s">
        <v>168</v>
      </c>
    </row>
    <row r="7" spans="1:13" x14ac:dyDescent="0.55000000000000004">
      <c r="A7">
        <v>1289</v>
      </c>
      <c r="B7" t="s">
        <v>14</v>
      </c>
      <c r="C7">
        <v>138</v>
      </c>
      <c r="D7">
        <v>105</v>
      </c>
      <c r="E7">
        <v>25639.2366001431</v>
      </c>
      <c r="F7">
        <v>300</v>
      </c>
      <c r="G7" t="s">
        <v>169</v>
      </c>
      <c r="H7" t="s">
        <v>170</v>
      </c>
      <c r="I7">
        <v>1.1395216266730269E-3</v>
      </c>
      <c r="J7">
        <v>7.5493307767088022E-3</v>
      </c>
      <c r="K7">
        <v>1.796205325905698E-10</v>
      </c>
      <c r="L7" t="s">
        <v>171</v>
      </c>
    </row>
    <row r="8" spans="1:13" x14ac:dyDescent="0.55000000000000004">
      <c r="A8">
        <v>1290</v>
      </c>
      <c r="B8" t="s">
        <v>14</v>
      </c>
      <c r="C8">
        <v>105</v>
      </c>
      <c r="D8">
        <v>139</v>
      </c>
      <c r="E8">
        <v>42360.417254709202</v>
      </c>
      <c r="F8">
        <v>300</v>
      </c>
      <c r="G8" t="s">
        <v>172</v>
      </c>
      <c r="H8" t="s">
        <v>173</v>
      </c>
      <c r="I8">
        <v>1.8826852113204089E-3</v>
      </c>
      <c r="J8">
        <v>1.247278952499771E-2</v>
      </c>
      <c r="K8">
        <v>1.087178463243621E-10</v>
      </c>
      <c r="L8" t="s">
        <v>174</v>
      </c>
      <c r="M8">
        <v>343321</v>
      </c>
    </row>
    <row r="9" spans="1:13" x14ac:dyDescent="0.55000000000000004">
      <c r="A9">
        <v>1291</v>
      </c>
      <c r="B9" t="s">
        <v>14</v>
      </c>
      <c r="C9">
        <v>139</v>
      </c>
      <c r="D9">
        <v>106</v>
      </c>
      <c r="E9">
        <v>29662.113492755401</v>
      </c>
      <c r="F9">
        <v>300</v>
      </c>
      <c r="G9" t="s">
        <v>175</v>
      </c>
      <c r="H9" t="s">
        <v>176</v>
      </c>
      <c r="I9">
        <v>1.318316155233574E-3</v>
      </c>
      <c r="J9">
        <v>8.7338445284224249E-3</v>
      </c>
      <c r="K9">
        <v>1.5525978398195161E-10</v>
      </c>
      <c r="L9" t="s">
        <v>177</v>
      </c>
    </row>
    <row r="10" spans="1:13" x14ac:dyDescent="0.55000000000000004">
      <c r="A10">
        <v>1173</v>
      </c>
      <c r="B10" t="s">
        <v>14</v>
      </c>
      <c r="C10">
        <v>105</v>
      </c>
      <c r="D10">
        <v>76</v>
      </c>
      <c r="E10">
        <v>84842.698575108603</v>
      </c>
      <c r="F10">
        <v>300</v>
      </c>
      <c r="G10" t="s">
        <v>178</v>
      </c>
      <c r="H10" t="s">
        <v>179</v>
      </c>
      <c r="I10">
        <v>3.7707866033381602E-3</v>
      </c>
      <c r="J10">
        <v>2.4981461247115311E-2</v>
      </c>
      <c r="K10">
        <v>5.4280844559138772E-11</v>
      </c>
      <c r="L10" t="s">
        <v>180</v>
      </c>
    </row>
    <row r="11" spans="1:13" x14ac:dyDescent="0.55000000000000004">
      <c r="A11">
        <v>1174</v>
      </c>
      <c r="B11" t="s">
        <v>14</v>
      </c>
      <c r="C11">
        <v>106</v>
      </c>
      <c r="D11">
        <v>76</v>
      </c>
      <c r="E11">
        <v>13858.6766774345</v>
      </c>
      <c r="F11">
        <v>300</v>
      </c>
      <c r="G11" t="s">
        <v>181</v>
      </c>
      <c r="H11" t="s">
        <v>182</v>
      </c>
      <c r="I11">
        <v>6.1594118566375559E-4</v>
      </c>
      <c r="J11">
        <v>4.0806103550223814E-3</v>
      </c>
      <c r="K11">
        <v>3.323068602092437E-10</v>
      </c>
      <c r="L11" t="s">
        <v>183</v>
      </c>
    </row>
    <row r="12" spans="1:13" x14ac:dyDescent="0.55000000000000004">
      <c r="A12">
        <v>1292</v>
      </c>
      <c r="B12" t="s">
        <v>14</v>
      </c>
      <c r="C12">
        <v>76</v>
      </c>
      <c r="D12">
        <v>60</v>
      </c>
      <c r="E12">
        <v>28295.8747017926</v>
      </c>
      <c r="F12">
        <v>300</v>
      </c>
      <c r="G12" t="s">
        <v>184</v>
      </c>
      <c r="H12" t="s">
        <v>185</v>
      </c>
      <c r="I12">
        <v>1.257594431190782E-3</v>
      </c>
      <c r="J12">
        <v>8.3315631066389322E-3</v>
      </c>
      <c r="K12">
        <v>1.627563516543837E-10</v>
      </c>
      <c r="L12" t="s">
        <v>186</v>
      </c>
    </row>
    <row r="13" spans="1:13" x14ac:dyDescent="0.55000000000000004">
      <c r="A13">
        <v>1175</v>
      </c>
      <c r="B13" t="s">
        <v>14</v>
      </c>
      <c r="C13">
        <v>60</v>
      </c>
      <c r="D13">
        <v>45</v>
      </c>
      <c r="E13">
        <v>103554.268326662</v>
      </c>
      <c r="F13">
        <v>300</v>
      </c>
      <c r="G13" t="s">
        <v>187</v>
      </c>
      <c r="H13" t="s">
        <v>188</v>
      </c>
      <c r="I13">
        <v>4.6024119256294219E-3</v>
      </c>
      <c r="J13">
        <v>3.049097900729492E-2</v>
      </c>
      <c r="K13">
        <v>4.4472655813720863E-11</v>
      </c>
      <c r="L13" t="s">
        <v>189</v>
      </c>
    </row>
    <row r="14" spans="1:13" x14ac:dyDescent="0.55000000000000004">
      <c r="A14">
        <v>6798</v>
      </c>
      <c r="B14" t="s">
        <v>14</v>
      </c>
      <c r="C14">
        <v>45</v>
      </c>
      <c r="D14">
        <v>30</v>
      </c>
      <c r="E14">
        <v>93475.106910836999</v>
      </c>
      <c r="F14">
        <v>300</v>
      </c>
      <c r="G14" t="s">
        <v>190</v>
      </c>
      <c r="H14" t="s">
        <v>191</v>
      </c>
      <c r="I14">
        <v>4.1544491960371997E-3</v>
      </c>
      <c r="J14">
        <v>2.7523225923746449E-2</v>
      </c>
      <c r="K14">
        <v>4.9268018893267679E-11</v>
      </c>
      <c r="L14" t="s">
        <v>192</v>
      </c>
    </row>
    <row r="15" spans="1:13" x14ac:dyDescent="0.55000000000000004">
      <c r="A15">
        <v>1288</v>
      </c>
      <c r="B15" t="s">
        <v>14</v>
      </c>
      <c r="C15">
        <v>138</v>
      </c>
      <c r="D15">
        <v>176</v>
      </c>
      <c r="E15">
        <v>53281.6677376925</v>
      </c>
      <c r="F15">
        <v>300</v>
      </c>
      <c r="G15" t="s">
        <v>193</v>
      </c>
      <c r="H15" t="s">
        <v>194</v>
      </c>
      <c r="I15">
        <v>2.3680741216752219E-3</v>
      </c>
      <c r="J15">
        <v>1.5688491056098351E-2</v>
      </c>
      <c r="K15">
        <v>8.6433730941109982E-11</v>
      </c>
      <c r="L15" t="s">
        <v>195</v>
      </c>
    </row>
    <row r="16" spans="1:13" x14ac:dyDescent="0.55000000000000004">
      <c r="A16">
        <v>6562</v>
      </c>
      <c r="B16" t="s">
        <v>14</v>
      </c>
      <c r="C16">
        <v>61</v>
      </c>
      <c r="D16">
        <v>79</v>
      </c>
      <c r="E16">
        <v>39089.795205363604</v>
      </c>
      <c r="F16">
        <v>380</v>
      </c>
      <c r="G16" t="s">
        <v>196</v>
      </c>
      <c r="H16" t="s">
        <v>197</v>
      </c>
      <c r="I16">
        <v>8.1211485883719381E-4</v>
      </c>
      <c r="J16">
        <v>6.6593418424649876E-3</v>
      </c>
      <c r="K16">
        <v>7.6767632298032541E-11</v>
      </c>
      <c r="L16" t="s">
        <v>198</v>
      </c>
    </row>
    <row r="17" spans="1:12" x14ac:dyDescent="0.55000000000000004">
      <c r="A17">
        <v>1293</v>
      </c>
      <c r="B17" t="s">
        <v>14</v>
      </c>
      <c r="C17">
        <v>78</v>
      </c>
      <c r="D17">
        <v>61</v>
      </c>
      <c r="E17">
        <v>139115.67012162399</v>
      </c>
      <c r="F17">
        <v>380</v>
      </c>
      <c r="G17" t="s">
        <v>199</v>
      </c>
      <c r="H17" t="s">
        <v>200</v>
      </c>
      <c r="I17">
        <v>2.8902147532193349E-3</v>
      </c>
      <c r="J17">
        <v>2.3699760976398549E-2</v>
      </c>
      <c r="K17">
        <v>2.1570762102552679E-11</v>
      </c>
      <c r="L17" t="s">
        <v>201</v>
      </c>
    </row>
    <row r="18" spans="1:12" x14ac:dyDescent="0.55000000000000004">
      <c r="A18">
        <v>1176</v>
      </c>
      <c r="B18" t="s">
        <v>14</v>
      </c>
      <c r="C18">
        <v>109</v>
      </c>
      <c r="D18">
        <v>79</v>
      </c>
      <c r="E18">
        <v>39526.878796049503</v>
      </c>
      <c r="F18">
        <v>380</v>
      </c>
      <c r="G18" t="s">
        <v>202</v>
      </c>
      <c r="H18" t="s">
        <v>203</v>
      </c>
      <c r="I18">
        <v>8.211955428542142E-4</v>
      </c>
      <c r="J18">
        <v>6.7338034514045561E-3</v>
      </c>
      <c r="K18">
        <v>7.5918744822084579E-11</v>
      </c>
      <c r="L18" t="s">
        <v>204</v>
      </c>
    </row>
    <row r="19" spans="1:12" x14ac:dyDescent="0.55000000000000004">
      <c r="A19">
        <v>1317</v>
      </c>
      <c r="B19" t="s">
        <v>14</v>
      </c>
      <c r="C19">
        <v>78</v>
      </c>
      <c r="D19">
        <v>108</v>
      </c>
      <c r="E19">
        <v>69764.072956209508</v>
      </c>
      <c r="F19">
        <v>380</v>
      </c>
      <c r="G19" t="s">
        <v>205</v>
      </c>
      <c r="H19" t="s">
        <v>206</v>
      </c>
      <c r="I19">
        <v>1.4493920974281761E-3</v>
      </c>
      <c r="J19">
        <v>1.1885015198911039E-2</v>
      </c>
      <c r="K19">
        <v>4.3013988400796947E-11</v>
      </c>
      <c r="L19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M22" sqref="M22"/>
    </sheetView>
  </sheetViews>
  <sheetFormatPr defaultColWidth="8.734375" defaultRowHeight="14.4" x14ac:dyDescent="0.55000000000000004"/>
  <sheetData>
    <row r="1" spans="1:7" x14ac:dyDescent="0.55000000000000004">
      <c r="A1" s="1" t="s">
        <v>208</v>
      </c>
      <c r="B1" s="1" t="s">
        <v>149</v>
      </c>
      <c r="C1" s="1" t="s">
        <v>150</v>
      </c>
      <c r="D1" s="1" t="s">
        <v>209</v>
      </c>
      <c r="E1" s="1" t="s">
        <v>152</v>
      </c>
      <c r="F1" s="1" t="s">
        <v>153</v>
      </c>
      <c r="G1" s="1" t="s">
        <v>1</v>
      </c>
    </row>
    <row r="2" spans="1:7" x14ac:dyDescent="0.55000000000000004">
      <c r="A2">
        <v>43</v>
      </c>
      <c r="B2">
        <v>76</v>
      </c>
      <c r="C2">
        <v>78</v>
      </c>
      <c r="D2">
        <v>0.78947368421052633</v>
      </c>
      <c r="E2">
        <v>5.6000000000000006E-4</v>
      </c>
      <c r="F2">
        <v>2.8000000000000001E-2</v>
      </c>
      <c r="G2" t="s">
        <v>210</v>
      </c>
    </row>
    <row r="3" spans="1:7" x14ac:dyDescent="0.55000000000000004">
      <c r="A3">
        <v>44</v>
      </c>
      <c r="B3">
        <v>77</v>
      </c>
      <c r="C3">
        <v>60</v>
      </c>
      <c r="D3">
        <v>0.44</v>
      </c>
      <c r="E3">
        <v>8.0000000000000004E-4</v>
      </c>
      <c r="F3">
        <v>0.04</v>
      </c>
      <c r="G3" t="s">
        <v>211</v>
      </c>
    </row>
    <row r="4" spans="1:7" x14ac:dyDescent="0.55000000000000004">
      <c r="A4">
        <v>45</v>
      </c>
      <c r="B4">
        <v>141</v>
      </c>
      <c r="C4">
        <v>109</v>
      </c>
      <c r="D4">
        <v>0.3473684210526316</v>
      </c>
      <c r="E4">
        <v>5.6000000000000006E-4</v>
      </c>
      <c r="F4">
        <v>2.8000000000000001E-2</v>
      </c>
      <c r="G4" t="s">
        <v>212</v>
      </c>
    </row>
    <row r="5" spans="1:7" x14ac:dyDescent="0.55000000000000004">
      <c r="A5">
        <v>46</v>
      </c>
      <c r="B5">
        <v>45</v>
      </c>
      <c r="C5">
        <v>61</v>
      </c>
      <c r="D5">
        <v>0.78947368421052633</v>
      </c>
      <c r="E5">
        <v>5.6000000000000006E-4</v>
      </c>
      <c r="F5">
        <v>2.8000000000000001E-2</v>
      </c>
      <c r="G5" t="s">
        <v>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>
      <selection activeCell="I2" sqref="I2"/>
    </sheetView>
  </sheetViews>
  <sheetFormatPr defaultColWidth="8.734375" defaultRowHeight="14.4" x14ac:dyDescent="0.55000000000000004"/>
  <sheetData>
    <row r="1" spans="1:9" x14ac:dyDescent="0.55000000000000004">
      <c r="A1" s="1" t="s">
        <v>214</v>
      </c>
      <c r="B1" s="1" t="s">
        <v>1</v>
      </c>
      <c r="C1" s="1" t="s">
        <v>148</v>
      </c>
      <c r="D1" s="1" t="s">
        <v>215</v>
      </c>
      <c r="E1" s="1" t="s">
        <v>149</v>
      </c>
      <c r="F1" s="1" t="s">
        <v>150</v>
      </c>
      <c r="G1" s="1" t="s">
        <v>4</v>
      </c>
      <c r="H1" s="1" t="s">
        <v>5</v>
      </c>
      <c r="I1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gen</vt:lpstr>
      <vt:lpstr>line</vt:lpstr>
      <vt:lpstr>trafo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Sverre Prøsch-Moen</cp:lastModifiedBy>
  <dcterms:created xsi:type="dcterms:W3CDTF">2026-09-16T13:42:18Z</dcterms:created>
  <dcterms:modified xsi:type="dcterms:W3CDTF">2026-10-13T15:58:51Z</dcterms:modified>
</cp:coreProperties>
</file>