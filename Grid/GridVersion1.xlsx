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8cbc925570652/Master/Kraftsystemer/Kraftsystemer-2/Grid/"/>
    </mc:Choice>
  </mc:AlternateContent>
  <xr:revisionPtr revIDLastSave="211" documentId="8_{3C642C3D-EC28-4A74-B6EC-7A1541F07EDF}" xr6:coauthVersionLast="47" xr6:coauthVersionMax="47" xr10:uidLastSave="{4501C804-12EF-47C2-AEBE-EEB495381B3E}"/>
  <bookViews>
    <workbookView xWindow="-110" yWindow="-110" windowWidth="19420" windowHeight="11020" xr2:uid="{E6D3FD58-6DB6-4988-B229-9B990EF92238}"/>
  </bookViews>
  <sheets>
    <sheet name="BranchData" sheetId="1" r:id="rId1"/>
    <sheet name="Bus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C9" i="2"/>
  <c r="C8" i="2"/>
  <c r="C7" i="2"/>
  <c r="C6" i="2"/>
  <c r="C5" i="2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E1" authorId="0" shapeId="0" xr:uid="{7C359762-34AF-45C8-B137-20D896F9A956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Full line shunt admittance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A1" authorId="0" shapeId="0" xr:uid="{5610F52F-2E3F-4D92-A4F7-400E6E273B0C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All array values must be defined in ascending bus order, starting with bus 1.</t>
        </r>
      </text>
    </comment>
    <comment ref="B1" authorId="0" shapeId="0" xr:uid="{B02F9F6A-FDE5-42F6-B970-F5E33DDABD28}">
      <text>
        <r>
          <rPr>
            <b/>
            <sz val="9"/>
            <color indexed="81"/>
            <rFont val="Tahoma"/>
            <charset val="1"/>
          </rPr>
          <t>Mads-Emil:</t>
        </r>
        <r>
          <rPr>
            <sz val="9"/>
            <color indexed="81"/>
            <rFont val="Tahoma"/>
            <charset val="1"/>
          </rPr>
          <t xml:space="preserve">
0 = Slack bus
1 = PV-bus
2 = PQ-bus</t>
        </r>
      </text>
    </comment>
  </commentList>
</comments>
</file>

<file path=xl/sharedStrings.xml><?xml version="1.0" encoding="utf-8"?>
<sst xmlns="http://schemas.openxmlformats.org/spreadsheetml/2006/main" count="15" uniqueCount="15">
  <si>
    <t>From Line</t>
  </si>
  <si>
    <t>To Line</t>
  </si>
  <si>
    <t>R [pu]</t>
  </si>
  <si>
    <t>X [pu]</t>
  </si>
  <si>
    <t>Full-Line B [pu]</t>
  </si>
  <si>
    <t>Bus Num</t>
  </si>
  <si>
    <t>BusType</t>
  </si>
  <si>
    <t>V [V]</t>
  </si>
  <si>
    <t>Angle [rad]</t>
  </si>
  <si>
    <t>P_gen</t>
  </si>
  <si>
    <t>Q_gen</t>
  </si>
  <si>
    <t>P_load</t>
  </si>
  <si>
    <t>Q_load</t>
  </si>
  <si>
    <t xml:space="preserve">S_base [MVA] </t>
  </si>
  <si>
    <t>V_base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</si>
</sst>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E10"/>
  <sheetViews>
    <sheetView tabSelected="1" workbookViewId="0">
      <selection activeCell="F4" sqref="F4"/>
    </sheetView>
  </sheetViews>
  <sheetFormatPr baseColWidth="10" defaultColWidth="10.81640625" defaultRowHeight="14.5" x14ac:dyDescent="0.35"/>
  <cols>
    <col min="3" max="3" width="12.26953125" bestFit="1" customWidth="1"/>
    <col min="5" max="5" width="12.81640625" customWidth="1"/>
    <col min="6" max="6" width="28.81640625" bestFit="1" customWidth="1"/>
    <col min="9" max="9" width="17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</v>
      </c>
      <c r="C2" s="2">
        <f>(0.04*22.9)/((300^2/600))</f>
        <v>6.1066666666666665E-3</v>
      </c>
      <c r="D2" s="1">
        <v>0.1094</v>
      </c>
      <c r="E2" s="1">
        <v>5.5999999999999999E-3</v>
      </c>
    </row>
    <row r="3" spans="1:5" x14ac:dyDescent="0.35">
      <c r="A3">
        <v>2</v>
      </c>
      <c r="B3">
        <v>3</v>
      </c>
      <c r="C3" s="2">
        <f>(0.04*22.9)/((300^2/600))</f>
        <v>6.1066666666666665E-3</v>
      </c>
      <c r="D3" s="1">
        <v>8.9800000000000005E-2</v>
      </c>
      <c r="E3" s="1">
        <v>4.5999999999999999E-3</v>
      </c>
    </row>
    <row r="4" spans="1:5" x14ac:dyDescent="0.35">
      <c r="A4">
        <v>3</v>
      </c>
      <c r="B4">
        <v>4</v>
      </c>
      <c r="C4" s="2">
        <v>2.1239999999999998E-2</v>
      </c>
      <c r="D4" s="1">
        <v>2.2800000000000001E-2</v>
      </c>
      <c r="E4" s="1">
        <v>1.18E-2</v>
      </c>
    </row>
    <row r="5" spans="1:5" x14ac:dyDescent="0.35">
      <c r="A5">
        <v>4</v>
      </c>
      <c r="B5">
        <v>5</v>
      </c>
      <c r="C5" s="2">
        <v>4.0299999999999997E-3</v>
      </c>
      <c r="D5" s="1">
        <v>4.4400000000000002E-2</v>
      </c>
      <c r="E5" s="1">
        <v>3.8999999999999998E-3</v>
      </c>
    </row>
    <row r="6" spans="1:5" x14ac:dyDescent="0.35">
      <c r="A6">
        <v>5</v>
      </c>
      <c r="B6">
        <v>6</v>
      </c>
      <c r="C6" s="2">
        <v>1.5822220000000001E-2</v>
      </c>
      <c r="D6" s="1">
        <v>0.25319999999999998</v>
      </c>
      <c r="E6" s="1">
        <v>2.29E-2</v>
      </c>
    </row>
    <row r="7" spans="1:5" x14ac:dyDescent="0.35">
      <c r="A7">
        <v>6</v>
      </c>
      <c r="B7">
        <v>7</v>
      </c>
      <c r="C7" s="2">
        <v>1.208889E-2</v>
      </c>
      <c r="D7" s="1">
        <v>0.19339999999999999</v>
      </c>
      <c r="E7" s="1">
        <v>1.7500000000000002E-2</v>
      </c>
    </row>
    <row r="8" spans="1:5" x14ac:dyDescent="0.35">
      <c r="A8">
        <v>7</v>
      </c>
      <c r="B8">
        <v>8</v>
      </c>
      <c r="C8" s="2">
        <v>2.1955559999999999E-2</v>
      </c>
      <c r="D8" s="1">
        <v>0.23599999999999999</v>
      </c>
      <c r="E8" s="1">
        <v>1.21E-2</v>
      </c>
    </row>
    <row r="9" spans="1:5" x14ac:dyDescent="0.35">
      <c r="A9">
        <v>1</v>
      </c>
      <c r="B9">
        <v>8</v>
      </c>
      <c r="C9" s="2">
        <v>4.7022220000000003E-2</v>
      </c>
      <c r="D9" s="1">
        <v>0.50549999999999995</v>
      </c>
      <c r="E9" s="1">
        <v>2.5999999999999999E-2</v>
      </c>
    </row>
    <row r="10" spans="1:5" x14ac:dyDescent="0.35">
      <c r="A10">
        <v>1</v>
      </c>
      <c r="B10">
        <v>6</v>
      </c>
      <c r="C10" s="2">
        <v>5.1866700000000002E-2</v>
      </c>
      <c r="D10" s="1">
        <v>0.55759999999999998</v>
      </c>
      <c r="E10" s="1">
        <v>2.87E-2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L9"/>
  <sheetViews>
    <sheetView workbookViewId="0">
      <selection activeCell="C5" sqref="C5"/>
    </sheetView>
  </sheetViews>
  <sheetFormatPr baseColWidth="10" defaultColWidth="10.81640625" defaultRowHeight="14.5" x14ac:dyDescent="0.35"/>
  <cols>
    <col min="11" max="11" width="12.1796875" bestFit="1" customWidth="1"/>
    <col min="14" max="14" width="12.54296875" bestFit="1" customWidth="1"/>
  </cols>
  <sheetData>
    <row r="1" spans="1:12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/>
      <c r="J1" s="3"/>
      <c r="K1" s="3" t="s">
        <v>13</v>
      </c>
      <c r="L1" s="3" t="s">
        <v>14</v>
      </c>
    </row>
    <row r="2" spans="1:12" x14ac:dyDescent="0.35">
      <c r="A2" s="3">
        <v>1</v>
      </c>
      <c r="B2" s="3">
        <v>0</v>
      </c>
      <c r="C2" s="3">
        <f>1.033*$L$2</f>
        <v>309.89999999999998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>
        <v>1000</v>
      </c>
      <c r="L2" s="3">
        <v>300</v>
      </c>
    </row>
    <row r="3" spans="1:12" x14ac:dyDescent="0.35">
      <c r="A3" s="3">
        <v>2</v>
      </c>
      <c r="B3" s="3">
        <v>1</v>
      </c>
      <c r="C3" s="3">
        <f>1.029*$L$2</f>
        <v>308.7</v>
      </c>
      <c r="D3" s="3">
        <v>0</v>
      </c>
      <c r="E3" s="3">
        <v>300</v>
      </c>
      <c r="F3" s="3">
        <v>0</v>
      </c>
      <c r="G3" s="3">
        <v>0</v>
      </c>
      <c r="H3" s="3">
        <v>0</v>
      </c>
      <c r="I3" s="3"/>
      <c r="J3" s="3"/>
      <c r="K3" s="3"/>
      <c r="L3" s="3"/>
    </row>
    <row r="4" spans="1:12" x14ac:dyDescent="0.35">
      <c r="A4" s="3">
        <v>3</v>
      </c>
      <c r="B4" s="3">
        <v>1</v>
      </c>
      <c r="C4" s="3">
        <f>0.985*$L$2</f>
        <v>295.5</v>
      </c>
      <c r="D4" s="3">
        <v>0</v>
      </c>
      <c r="E4" s="3">
        <v>300</v>
      </c>
      <c r="F4" s="3">
        <v>0</v>
      </c>
      <c r="G4" s="3">
        <v>0</v>
      </c>
      <c r="H4" s="3">
        <v>0</v>
      </c>
      <c r="I4" s="3"/>
      <c r="J4" s="3"/>
      <c r="K4" s="3"/>
      <c r="L4" s="3"/>
    </row>
    <row r="5" spans="1:12" x14ac:dyDescent="0.35">
      <c r="A5" s="3">
        <v>4</v>
      </c>
      <c r="B5" s="3">
        <v>1</v>
      </c>
      <c r="C5" s="3">
        <f>1*$L$2</f>
        <v>300</v>
      </c>
      <c r="D5" s="3">
        <v>0</v>
      </c>
      <c r="E5" s="3">
        <v>180</v>
      </c>
      <c r="F5" s="3">
        <v>0</v>
      </c>
      <c r="G5" s="3">
        <v>0</v>
      </c>
      <c r="H5" s="3">
        <v>0</v>
      </c>
      <c r="I5" s="3"/>
      <c r="J5" s="3"/>
      <c r="K5" s="3"/>
      <c r="L5" s="3"/>
    </row>
    <row r="6" spans="1:12" x14ac:dyDescent="0.35">
      <c r="A6" s="3">
        <v>5</v>
      </c>
      <c r="B6" s="3">
        <v>2</v>
      </c>
      <c r="C6" s="3">
        <f>1*$L$2</f>
        <v>300</v>
      </c>
      <c r="D6" s="3">
        <v>0</v>
      </c>
      <c r="E6" s="3">
        <v>0</v>
      </c>
      <c r="F6" s="3">
        <v>0</v>
      </c>
      <c r="G6" s="3">
        <v>100</v>
      </c>
      <c r="H6" s="3">
        <v>60</v>
      </c>
      <c r="I6" s="3"/>
      <c r="J6" s="3"/>
      <c r="K6" s="3"/>
      <c r="L6" s="3"/>
    </row>
    <row r="7" spans="1:12" x14ac:dyDescent="0.35">
      <c r="A7" s="3">
        <v>6</v>
      </c>
      <c r="B7" s="3">
        <v>2</v>
      </c>
      <c r="C7" s="3">
        <f>1*$L$2</f>
        <v>300</v>
      </c>
      <c r="D7" s="3">
        <v>0</v>
      </c>
      <c r="E7" s="3">
        <v>0</v>
      </c>
      <c r="F7" s="3">
        <v>0</v>
      </c>
      <c r="G7" s="3">
        <v>1080</v>
      </c>
      <c r="H7" s="3">
        <v>225</v>
      </c>
      <c r="I7" s="3"/>
      <c r="J7" s="3"/>
      <c r="K7" s="3"/>
      <c r="L7" s="3"/>
    </row>
    <row r="8" spans="1:12" x14ac:dyDescent="0.35">
      <c r="A8" s="3">
        <v>7</v>
      </c>
      <c r="B8" s="3">
        <v>2</v>
      </c>
      <c r="C8" s="3">
        <f>1*$L$2</f>
        <v>300</v>
      </c>
      <c r="D8" s="3">
        <v>0</v>
      </c>
      <c r="E8" s="3">
        <v>0</v>
      </c>
      <c r="F8" s="3">
        <v>0</v>
      </c>
      <c r="G8" s="3">
        <v>180</v>
      </c>
      <c r="H8" s="3">
        <v>45</v>
      </c>
      <c r="I8" s="3"/>
      <c r="J8" s="3"/>
      <c r="K8" s="3"/>
      <c r="L8" s="3"/>
    </row>
    <row r="9" spans="1:12" x14ac:dyDescent="0.35">
      <c r="A9" s="3">
        <v>8</v>
      </c>
      <c r="B9" s="3">
        <v>2</v>
      </c>
      <c r="C9" s="3">
        <f>1*$L$2</f>
        <v>300</v>
      </c>
      <c r="D9" s="3">
        <v>0</v>
      </c>
      <c r="E9" s="3">
        <v>0</v>
      </c>
      <c r="F9" s="3">
        <v>0</v>
      </c>
      <c r="G9" s="3">
        <v>225</v>
      </c>
      <c r="H9" s="3">
        <v>45</v>
      </c>
      <c r="I9" s="3"/>
      <c r="J9" s="3"/>
      <c r="K9" s="3"/>
      <c r="L9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22d515-0715-47d2-81b1-ef00605e1c6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CA8563C35EAC4DA458C96C86289442" ma:contentTypeVersion="9" ma:contentTypeDescription="Create a new document." ma:contentTypeScope="" ma:versionID="d60f1ee50480cf6a29d9af1e44ae1b59">
  <xsd:schema xmlns:xsd="http://www.w3.org/2001/XMLSchema" xmlns:xs="http://www.w3.org/2001/XMLSchema" xmlns:p="http://schemas.microsoft.com/office/2006/metadata/properties" xmlns:ns3="f922d515-0715-47d2-81b1-ef00605e1c6c" xmlns:ns4="7451329a-7d84-4aff-a31d-bae55e338dcf" targetNamespace="http://schemas.microsoft.com/office/2006/metadata/properties" ma:root="true" ma:fieldsID="b15a621f4bf9d812834242f4566d6849" ns3:_="" ns4:_="">
    <xsd:import namespace="f922d515-0715-47d2-81b1-ef00605e1c6c"/>
    <xsd:import namespace="7451329a-7d84-4aff-a31d-bae55e338d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d515-0715-47d2-81b1-ef00605e1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1329a-7d84-4aff-a31d-bae55e338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012CDF-1A50-4E16-9241-25F524158EA8}">
  <ds:schemaRefs>
    <ds:schemaRef ds:uri="http://schemas.microsoft.com/office/2006/metadata/properties"/>
    <ds:schemaRef ds:uri="http://schemas.microsoft.com/office/infopath/2007/PartnerControls"/>
    <ds:schemaRef ds:uri="f922d515-0715-47d2-81b1-ef00605e1c6c"/>
  </ds:schemaRefs>
</ds:datastoreItem>
</file>

<file path=customXml/itemProps2.xml><?xml version="1.0" encoding="utf-8"?>
<ds:datastoreItem xmlns:ds="http://schemas.openxmlformats.org/officeDocument/2006/customXml" ds:itemID="{A7D9F204-95DA-4997-975F-50AB2C8864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0A06D-1972-47EB-AEC3-64052A311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2d515-0715-47d2-81b1-ef00605e1c6c"/>
    <ds:schemaRef ds:uri="7451329a-7d84-4aff-a31d-bae55e338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Mads-Emil</dc:creator>
  <cp:keywords/>
  <dc:description/>
  <cp:lastModifiedBy>Tor Kristian Boiesen</cp:lastModifiedBy>
  <cp:revision/>
  <dcterms:created xsi:type="dcterms:W3CDTF">2018-01-09T10:32:37Z</dcterms:created>
  <dcterms:modified xsi:type="dcterms:W3CDTF">2026-09-09T11:05:14Z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0x0101005ACA8563C35EAC4DA458C96C86289442</vt:lpwstr>
  </property>
</Properties>
</file>